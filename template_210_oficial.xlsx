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AAA\"/>
    </mc:Choice>
  </mc:AlternateContent>
  <xr:revisionPtr revIDLastSave="0" documentId="13_ncr:1_{BC61E1DA-B506-459D-BE14-7F9A478A06F3}" xr6:coauthVersionLast="47" xr6:coauthVersionMax="47" xr10:uidLastSave="{00000000-0000-0000-0000-000000000000}"/>
  <bookViews>
    <workbookView xWindow="-108" yWindow="-108" windowWidth="23256" windowHeight="12456" xr2:uid="{DFD0C844-0FBC-4EA5-8F8D-D93D7C23688A}"/>
  </bookViews>
  <sheets>
    <sheet name="210" sheetId="1" r:id="rId1"/>
    <sheet name="Hoja1" sheetId="2" state="hidden" r:id="rId2"/>
  </sheets>
  <definedNames>
    <definedName name="BG_UVT">'210'!$AF$29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9" i="1" l="1"/>
  <c r="AD11" i="1"/>
  <c r="AD9" i="1"/>
  <c r="Z37" i="1"/>
  <c r="X34" i="1"/>
  <c r="L46" i="1"/>
  <c r="L37" i="1"/>
  <c r="L32" i="1"/>
  <c r="L34" i="1" s="1"/>
  <c r="Y25" i="1"/>
  <c r="Y22" i="1"/>
  <c r="Y19" i="1"/>
  <c r="Y15" i="1"/>
  <c r="U25" i="1"/>
  <c r="U22" i="1"/>
  <c r="U19" i="1"/>
  <c r="U15" i="1"/>
  <c r="N22" i="1"/>
  <c r="N19" i="1"/>
  <c r="H22" i="1"/>
  <c r="H23" i="1" s="1"/>
  <c r="H19" i="1"/>
  <c r="H15" i="1"/>
  <c r="AG19" i="1" l="1"/>
  <c r="AG18" i="1"/>
  <c r="N23" i="1" s="1" a="1"/>
  <c r="N23" i="1" s="1"/>
  <c r="N24" i="1" s="1"/>
  <c r="AI18" i="1"/>
  <c r="AH18" i="1"/>
  <c r="N15" i="1"/>
  <c r="N25" i="1"/>
  <c r="AC23" i="1"/>
  <c r="H27" i="1"/>
  <c r="U23" i="1" l="1" a="1"/>
  <c r="U23" i="1" s="1"/>
  <c r="U24" i="1" s="1"/>
  <c r="U27" i="1" s="1"/>
  <c r="AH19" i="1"/>
  <c r="N27" i="1"/>
  <c r="Y23" i="1" l="1" a="1"/>
  <c r="Y23" i="1" s="1"/>
  <c r="AI19" i="1"/>
  <c r="Y24" i="1" l="1"/>
  <c r="Y27" i="1" s="1"/>
  <c r="F28" i="1" s="1"/>
  <c r="M28" i="1"/>
  <c r="T28" i="1" l="1"/>
  <c r="T29" i="1" s="1"/>
  <c r="L42" i="1" l="1"/>
  <c r="X31" i="1" a="1"/>
  <c r="X31" i="1" s="1"/>
  <c r="AF29" i="1"/>
  <c r="X30" i="1" s="1" a="1"/>
  <c r="X30" i="1" s="1"/>
  <c r="X35" i="1" s="1"/>
  <c r="X38" i="1" s="1"/>
  <c r="X41" i="1" s="1"/>
  <c r="Z47" i="1" l="1"/>
  <c r="T47" i="1"/>
  <c r="F4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<sst xmlns="http://schemas.openxmlformats.org/spreadsheetml/2006/main" count="160" uniqueCount="158">
  <si>
    <t>Datos del declarante</t>
  </si>
  <si>
    <t>5. Número de Identificación Tributaria (NIT)</t>
  </si>
  <si>
    <t>6.DV</t>
  </si>
  <si>
    <t/>
  </si>
  <si>
    <t>24. Actividad
económica principal</t>
  </si>
  <si>
    <t xml:space="preserve">26. No. Formulario 
anterior </t>
  </si>
  <si>
    <t>27. Fracción año gravable siguiente</t>
  </si>
  <si>
    <t>Patrimonio</t>
  </si>
  <si>
    <t>Total patrimonio bruto</t>
  </si>
  <si>
    <t>Deudas</t>
  </si>
  <si>
    <t>Total patrimonio líquido</t>
  </si>
  <si>
    <t>Conceptos/Rentas</t>
  </si>
  <si>
    <t>Rentas de trabajo</t>
  </si>
  <si>
    <t>Rentas de capital</t>
  </si>
  <si>
    <t>Rentas no laborales</t>
  </si>
  <si>
    <t>Ingresos brutos</t>
  </si>
  <si>
    <t>Devoluciones, rebajas y
descuentos</t>
  </si>
  <si>
    <t>Ingresos no constitutivos
de renta</t>
  </si>
  <si>
    <t>Costos y deducciones
procedentes</t>
  </si>
  <si>
    <t>Renta líquida</t>
  </si>
  <si>
    <t>Rentas líquidas pasivas -
ECE</t>
  </si>
  <si>
    <t>Rentas
exentas</t>
  </si>
  <si>
    <t>Otras rentas exentas</t>
  </si>
  <si>
    <t>Total rentas exentas</t>
  </si>
  <si>
    <t>Deducciones
imputables</t>
  </si>
  <si>
    <t>Intereses de vivienda</t>
  </si>
  <si>
    <t>Total deducciones
imputables</t>
  </si>
  <si>
    <t>Renta líquida ordinaria</t>
  </si>
  <si>
    <t>Ren líquida 
céd. gen.</t>
  </si>
  <si>
    <t>R. líq. ord.
cédula gen.</t>
  </si>
  <si>
    <t>Rentas
gravables</t>
  </si>
  <si>
    <t>R. líq. grav.
cédula gen.</t>
  </si>
  <si>
    <t>Renta presuntiva</t>
  </si>
  <si>
    <t>Cédula de
pensiones</t>
  </si>
  <si>
    <t>Ingresos brutos por rentas de pensiones del país y
del exterior</t>
  </si>
  <si>
    <t>Ganancias ocasionales gravables</t>
  </si>
  <si>
    <t>Ingresos no constitutivos de renta</t>
  </si>
  <si>
    <t>Liquidación privada</t>
  </si>
  <si>
    <t>Impuesto sobre las rentas
líquidas gravables</t>
  </si>
  <si>
    <t>Rentas exentas de pensiones</t>
  </si>
  <si>
    <t>Por dividendos y participaciones año 2016</t>
  </si>
  <si>
    <t>Renta líquida gravable cédula de pensiones</t>
  </si>
  <si>
    <t>Dividendos y participaciones 2016 y anteriores, y otros</t>
  </si>
  <si>
    <t>Total impuesto sobre las rentas líquidas
gravables</t>
  </si>
  <si>
    <t>Renta líquida ordinaria año 2016 y anteriores</t>
  </si>
  <si>
    <t>Imp. pagados
en el exterior</t>
  </si>
  <si>
    <t>Donaciones</t>
  </si>
  <si>
    <t>Total des-
cuentos trib.</t>
  </si>
  <si>
    <t>2a. Subcédula año 2017 y siguientes parágrafo 2
art. 49 del ET</t>
  </si>
  <si>
    <t>Impuesto neto de renta</t>
  </si>
  <si>
    <t>Impuesto de ganancias ocasionales</t>
  </si>
  <si>
    <t>Rentas exentas de la casilla 109</t>
  </si>
  <si>
    <t>Descuento por impuestos pagados en el exterior
por ganancias ocasionales</t>
  </si>
  <si>
    <t>Total impuesto a cargo</t>
  </si>
  <si>
    <t>Anticipo renta liquidado año gravable anterior</t>
  </si>
  <si>
    <t>Saldo a favor del año gravable anterior sin
solicitud de devolución y/o compensación</t>
  </si>
  <si>
    <t>Costos por ganancias ocasionales</t>
  </si>
  <si>
    <t>Ganancias ocasionales no gravadas y exentas</t>
  </si>
  <si>
    <t>Anticipo renta para el año gravable siguiente</t>
  </si>
  <si>
    <t>Sanciones</t>
  </si>
  <si>
    <t>Total saldo
a favor</t>
  </si>
  <si>
    <t>Saldo a pagar por impuesto</t>
  </si>
  <si>
    <t>1. Año</t>
  </si>
  <si>
    <t>7. Primer apellido</t>
  </si>
  <si>
    <t xml:space="preserve">8. Segundo apellido </t>
  </si>
  <si>
    <t>9. Primer nombre</t>
  </si>
  <si>
    <t xml:space="preserve">10. Otros nombres </t>
  </si>
  <si>
    <t>981. Cód. Representación</t>
  </si>
  <si>
    <t>982. Cód. Contador</t>
  </si>
  <si>
    <t>983. No. Tarjeta profesional</t>
  </si>
  <si>
    <t>Firma Contador</t>
  </si>
  <si>
    <t>994. Con salvedades</t>
  </si>
  <si>
    <t>997. Espacio exclusivo para el sello 
de la entidad recaudadora</t>
  </si>
  <si>
    <t>Declaración de renta y complementario 
personas naturales y asimiladas de residentes 
y sucesiones ilíquidas de causantes residentes</t>
  </si>
  <si>
    <t xml:space="preserve">
    Espacio reservado para la DIAN</t>
  </si>
  <si>
    <t>Si es una
corrección indique:</t>
  </si>
  <si>
    <t>Rentas de tranajo que no provengan de una
relación laboral o legal y reglamentaria</t>
  </si>
  <si>
    <t>Otras deducciones
imputables</t>
  </si>
  <si>
    <t>Rentas líquida ordinaria
del ejercicio</t>
  </si>
  <si>
    <t>Pérdida líquida
del ejercicio</t>
  </si>
  <si>
    <t>Compensaciones por
pérdidas</t>
  </si>
  <si>
    <t>Ren. ex. Y
ded. imp. li</t>
  </si>
  <si>
    <t>Comp. Pérdidas
año 2018 y ant.</t>
  </si>
  <si>
    <t>Cédula de dividendos y/o
participaciones</t>
  </si>
  <si>
    <t>1a. Subcédula año 2017 y siguientes numeral 3
art. 49 del ET</t>
  </si>
  <si>
    <t>Dividendos y participaciones recibidas del exterior</t>
  </si>
  <si>
    <t>Renta liquida gravable (Cédula general o renta presuntiva de
pensiones y de dividendos y participaciones, art. 241 E.T.)</t>
  </si>
  <si>
    <t>Total saldo a
pagar</t>
  </si>
  <si>
    <t>Adición por dependientes a 
la casilla 92</t>
  </si>
  <si>
    <t>Aporte voluntario</t>
  </si>
  <si>
    <t>Firma del declarante o de quien lo
representa</t>
  </si>
  <si>
    <t>980. Pago total $</t>
  </si>
  <si>
    <t>996. Espacio para el número interno de la DIAN/ Adhesivo</t>
  </si>
  <si>
    <t xml:space="preserve">
     4. Número de formulario</t>
  </si>
  <si>
    <t>Renta presuntiva, de pensiones y de dividendos y
participaciones</t>
  </si>
  <si>
    <t>Por dividendos y participaciones año 2017 y
siguientes, 2a subcedula (Art. 240 E.T.)</t>
  </si>
  <si>
    <t>Por dividendos y participaciones recibidas del
exterior</t>
  </si>
  <si>
    <t>Descuentos
tributarios</t>
  </si>
  <si>
    <t>Retenciones año gravable a declarar</t>
  </si>
  <si>
    <t>Declaración de renta y complementario para personas jurídicas y asimiladas y personas naturales y asimiladas no residentes y sucesiones ilíquidas de causantes no residentes o de ingresos y patrimonio para entidades obligadas a declarar. Res 000022 de 2023</t>
  </si>
  <si>
    <t>Declaración informativa de Precios Transferencia – Resolución 00019 de marzo 10 de 2020.</t>
  </si>
  <si>
    <t>Declaración de Renta por Cambio de la Titularidad de la Inversión Extranjera Directa y Enajenaciones Indirectas - Resolución 000018 del 17 de febrero de 2021.</t>
  </si>
  <si>
    <t>Declaración Anual de Activos en el Exterior - Res. 000013 del 3 de Marzo de 2017 - Res. 4 de enero 15 de 2019 – Res. 000023 del 1 de febrero de 2022 - Res. 001096 del 13 de Julio de 2022.</t>
  </si>
  <si>
    <t>Declaración de renta y complementario personas naturales y asimiladas residentes y sucesiones ilíquidas de causantes residentes. Modificado por la Resolución 000120 del 31 de julio de 2024</t>
  </si>
  <si>
    <t>Certificado de ingresos y retenciones por rentas de trabajo y de pensiones Año gravable 2023 – Resolución 000022 del 20 de Febrero de 2024.</t>
  </si>
  <si>
    <t>Recibo electrónico del SIMPLE. Resolución 000081 del 30 de abril de 2024</t>
  </si>
  <si>
    <t>Declaración anual consolidada. Resolución 000061 del 08 de abril de 2024.</t>
  </si>
  <si>
    <t>Declaración anual consolidada. Resolución 000187 de 2024- disponible para la fracción de año hasta el 31 de diciembre de 2024.</t>
  </si>
  <si>
    <t>Declaración del Impuesto sobre las Ventas – IVA Resolución 00019 de marzo 10 de 2020.</t>
  </si>
  <si>
    <t>Declaración Impuesto Nacional al Consumo - Resolución 16 de marzo 7 de 2019.</t>
  </si>
  <si>
    <t>Declaración del Impuesto Sobre las Ventas - IVA de Prestadores de Servicios desde el Exterior – Resolución 69 de diciembre 28 de 2018.</t>
  </si>
  <si>
    <t>Declaración del impuesto nacional sobre productos plásticos de un solo uso utilizados para envasar, embalar o empacar bienes. - Resolución 011336 de diciembre 29 de 2023.</t>
  </si>
  <si>
    <t>Declaración del Impuesto a las bebidas ultraprocesadas azucaradas. - Resolución 011336 de diciembre 29 de 2023.</t>
  </si>
  <si>
    <t>Declaración del Impuesto a los productos comestibles ultraprocesados industrialmente y/o con alto contenido de azúcares añadidos, sodio o grasas saturadas. - Resolución 011336 de diciembre 29 de 2023.</t>
  </si>
  <si>
    <t>Declaración de Retenciones en la Fuente – Resolución 000009 de febrero 5 de 2021</t>
  </si>
  <si>
    <t>Declaración de Retenciones en la Fuente – Resolución 000031 de febrero 29 de 2024. Tendrá vigencia a partir del 1 de agosto de 2024</t>
  </si>
  <si>
    <t>Formulario para Liquidar y Consignar el Aporte Especial de las Notarías para la Administración de Justicia - Resolución 4 de enero 15 de 2019.</t>
  </si>
  <si>
    <t>Declaración Semanal Gravamen a los Movimientos Financieros - Resolución 4 de enero 15 de 2019.</t>
  </si>
  <si>
    <t>Declaración Impuesto al Patrimonio - Resolución 000071 del 4 de mayo de 2023.</t>
  </si>
  <si>
    <t>Declaración Impuesto Nacional a la Gasolina y ACPM - Resolución 4 de enero 15 de 2019.</t>
  </si>
  <si>
    <t>Impuesto Nacional al Carbono - Resolución 4 de enero 15 de 2019 – Resolución 000035 de 7 de marzo de 2023.</t>
  </si>
  <si>
    <t>Recibo oficial de pago impuestos nacionales. Resolución 000051 de mayo 21 de 2020 - Resolución 000050 de marzo 29 de 2023 – Resolución 000004 de enero 25 de 2024</t>
  </si>
  <si>
    <t>Declaración de Importación</t>
  </si>
  <si>
    <t>Impuestos a la importación de bebidas ultraprocesadas azucaradas y productos comestibles ultraprocesados industrialmente y/o con alto contenido de azúcares añadidos, sodio o grasas saturadas.</t>
  </si>
  <si>
    <t>Declaración de Importación Simplificada</t>
  </si>
  <si>
    <t>Declaración para la Finalización de los Sistemas Especiales de Importación - Exportación</t>
  </si>
  <si>
    <t>Declaración de Equipaje, de Dinero en Efectivo y Títulos Representativos en Dinero - Viajeros.</t>
  </si>
  <si>
    <t>Declaración de Ingreso - Salida Dinero en Efectivo</t>
  </si>
  <si>
    <t>Declaración de Ingreso - Salida de Títulos Representativos de Dinero por Usuarios</t>
  </si>
  <si>
    <t>UVT 2024</t>
  </si>
  <si>
    <t>TOPE EN RENTAS EXENTAS</t>
  </si>
  <si>
    <t>AVC</t>
  </si>
  <si>
    <t>SI SUPERA 49 Y 52 TOPE, RESTE CON 41</t>
  </si>
  <si>
    <t>SI 49 Y 52 NO SUPERA TOPE</t>
  </si>
  <si>
    <r>
      <t>Y AL SUMAR 41  PASA TOPE,</t>
    </r>
    <r>
      <rPr>
        <b/>
        <sz val="10"/>
        <color theme="1"/>
        <rFont val="Arial"/>
        <family val="2"/>
      </rPr>
      <t xml:space="preserve"> DEJELO EN TOPE</t>
    </r>
  </si>
  <si>
    <t>SINO PONGA LA SUMA 49 + 52</t>
  </si>
  <si>
    <t>VALIDADOR 49+ 52</t>
  </si>
  <si>
    <t>CONDICIONES PARA 53</t>
  </si>
  <si>
    <t>VALIDADOR 65 +68</t>
  </si>
  <si>
    <t>VALIDADOR 82 + 85</t>
  </si>
  <si>
    <t>ARREGLAR CUANDO LA SUMA DE ELLOS COMPLETE EL TOPE</t>
  </si>
  <si>
    <t>SALDO EN CASO DE RELLENAR LO FALTANTE</t>
  </si>
  <si>
    <t>Cedula general, de pensiones y de dividendos y
participaciones</t>
  </si>
  <si>
    <t>UVT RG 97</t>
  </si>
  <si>
    <t>UVT RG 98</t>
  </si>
  <si>
    <t>28. Uno por ciento ( 1%) de compras
con factura electrónica</t>
  </si>
  <si>
    <t>Aportes voluntarios 
AFC, FVP y AVC</t>
  </si>
  <si>
    <t>Rentas exentas y/o deduc.
 imputables (Limitadas)</t>
  </si>
  <si>
    <t>Ganancias
ocasionales</t>
  </si>
  <si>
    <t>Ingresos por ganancias ocasionales del país y del
exterior</t>
  </si>
  <si>
    <t>Número de dependientes
económicos</t>
  </si>
  <si>
    <t>Dividendos
particip. y otros</t>
  </si>
  <si>
    <t>Ud. superó tope indicativo
art 336-1 del E.T., marque X</t>
  </si>
  <si>
    <t>12. Cod. Dirección seccional</t>
  </si>
  <si>
    <t xml:space="preserve"> 25.Cód.</t>
  </si>
  <si>
    <t>Comp. Exc. ren.
presuntiva</t>
  </si>
  <si>
    <t xml:space="preserve"> </t>
  </si>
  <si>
    <t>Rentas de trabajo que no provengan de una
relación laboral o legal y reglamentaria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</si>
</sst>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_);_(&quot;$&quot;\ * \(#,##0\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b/>
      <sz val="14"/>
      <color theme="0"/>
      <name val="Arial"/>
      <family val="2"/>
    </font>
    <font>
      <b/>
      <sz val="14"/>
      <color theme="4" tint="-0.499984740745262"/>
      <name val="Arial"/>
      <family val="2"/>
    </font>
    <font>
      <b/>
      <sz val="28"/>
      <color rgb="FFFFFFFF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10"/>
      <color rgb="FF018A3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sz val="11"/>
      <color rgb="FF0070C0"/>
      <name val="Arial"/>
      <family val="2"/>
    </font>
    <font>
      <b/>
      <sz val="12"/>
      <color theme="1"/>
      <name val="Arial"/>
      <family val="2"/>
    </font>
    <font>
      <sz val="8"/>
      <color rgb="FF444444"/>
      <name val="Arial"/>
      <family val="2"/>
    </font>
    <font>
      <sz val="8"/>
      <color rgb="FF454545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E0000"/>
        <bgColor indexed="64"/>
      </patternFill>
    </fill>
  </fills>
  <borders count="96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/>
      <bottom/>
      <diagonal/>
    </border>
    <border>
      <left/>
      <right/>
      <top/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thin">
        <color theme="3"/>
      </right>
      <top style="medium">
        <color theme="4" tint="-0.24994659260841701"/>
      </top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thin">
        <color theme="3"/>
      </right>
      <top style="medium">
        <color theme="4" tint="-0.24994659260841701"/>
      </top>
      <bottom/>
      <diagonal/>
    </border>
    <border>
      <left style="thin">
        <color theme="3"/>
      </left>
      <right style="thin">
        <color theme="3"/>
      </right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thin">
        <color rgb="FF008B28"/>
      </left>
      <right style="thick">
        <color rgb="FF008B28"/>
      </right>
      <top/>
      <bottom/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thin">
        <color theme="3"/>
      </bottom>
      <diagonal/>
    </border>
    <border>
      <left style="medium">
        <color theme="4" tint="-0.24994659260841701"/>
      </left>
      <right style="medium">
        <color theme="4" tint="-0.24994659260841701"/>
      </right>
      <top style="thin">
        <color theme="3"/>
      </top>
      <bottom style="thin">
        <color theme="3"/>
      </bottom>
      <diagonal/>
    </border>
    <border>
      <left style="medium">
        <color theme="4" tint="-0.24994659260841701"/>
      </left>
      <right style="medium">
        <color theme="4" tint="-0.24994659260841701"/>
      </right>
      <top style="thin">
        <color theme="3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thick">
        <color rgb="FF008B28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/>
      <diagonal/>
    </border>
    <border>
      <left/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 style="medium">
        <color theme="4" tint="-0.24994659260841701"/>
      </right>
      <top/>
      <bottom/>
      <diagonal/>
    </border>
    <border>
      <left style="thin">
        <color theme="3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 style="thin">
        <color theme="3"/>
      </right>
      <top/>
      <bottom/>
      <diagonal/>
    </border>
    <border>
      <left style="thin">
        <color theme="3"/>
      </left>
      <right style="medium">
        <color theme="4" tint="-0.24994659260841701"/>
      </right>
      <top/>
      <bottom/>
      <diagonal/>
    </border>
    <border>
      <left style="thin">
        <color theme="3"/>
      </left>
      <right style="thin">
        <color theme="3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thin">
        <color theme="3"/>
      </top>
      <bottom/>
      <diagonal/>
    </border>
    <border>
      <left style="thin">
        <color theme="3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77111117893"/>
      </left>
      <right style="thin">
        <color theme="3"/>
      </right>
      <top style="medium">
        <color theme="4" tint="-0.249977111117893"/>
      </top>
      <bottom style="medium">
        <color theme="4" tint="-0.249977111117893"/>
      </bottom>
      <diagonal/>
    </border>
    <border>
      <left style="thin">
        <color theme="3"/>
      </left>
      <right style="thin">
        <color theme="3"/>
      </right>
      <top style="medium">
        <color theme="4" tint="-0.249977111117893"/>
      </top>
      <bottom style="medium">
        <color theme="4" tint="-0.249977111117893"/>
      </bottom>
      <diagonal/>
    </border>
    <border>
      <left style="thin">
        <color theme="3"/>
      </left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thin">
        <color theme="3"/>
      </left>
      <right style="thin">
        <color theme="3"/>
      </right>
      <top/>
      <bottom style="medium">
        <color theme="4" tint="-0.249977111117893"/>
      </bottom>
      <diagonal/>
    </border>
    <border>
      <left/>
      <right style="thin">
        <color theme="3"/>
      </right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4659260841701"/>
      </top>
      <bottom/>
      <diagonal/>
    </border>
    <border>
      <left/>
      <right style="medium">
        <color theme="4" tint="-0.249977111117893"/>
      </right>
      <top/>
      <bottom/>
      <diagonal/>
    </border>
    <border>
      <left/>
      <right style="medium">
        <color theme="4" tint="-0.249977111117893"/>
      </right>
      <top/>
      <bottom style="thin">
        <color theme="3"/>
      </bottom>
      <diagonal/>
    </border>
    <border>
      <left style="medium">
        <color theme="4" tint="-0.249977111117893"/>
      </left>
      <right style="thin">
        <color theme="3"/>
      </right>
      <top/>
      <bottom style="thin">
        <color theme="3"/>
      </bottom>
      <diagonal/>
    </border>
    <border>
      <left style="medium">
        <color theme="4" tint="-0.24994659260841701"/>
      </left>
      <right style="medium">
        <color theme="4" tint="-0.249977111117893"/>
      </right>
      <top/>
      <bottom/>
      <diagonal/>
    </border>
    <border>
      <left style="medium">
        <color theme="4" tint="-0.24994659260841701"/>
      </left>
      <right style="medium">
        <color theme="4" tint="-0.249977111117893"/>
      </right>
      <top style="medium">
        <color theme="4" tint="-0.24994659260841701"/>
      </top>
      <bottom/>
      <diagonal/>
    </border>
    <border>
      <left style="medium">
        <color theme="4" tint="-0.249977111117893"/>
      </left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/>
      <diagonal/>
    </border>
    <border>
      <left style="thin">
        <color theme="3"/>
      </left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 style="medium">
        <color theme="4" tint="-0.249977111117893"/>
      </right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/>
      <right style="medium">
        <color theme="4" tint="-0.249977111117893"/>
      </right>
      <top/>
      <bottom style="medium">
        <color theme="4" tint="-0.24994659260841701"/>
      </bottom>
      <diagonal/>
    </border>
    <border>
      <left style="thin">
        <color theme="3"/>
      </left>
      <right style="medium">
        <color theme="4" tint="-0.249977111117893"/>
      </right>
      <top/>
      <bottom/>
      <diagonal/>
    </border>
    <border>
      <left style="thin">
        <color theme="3"/>
      </left>
      <right style="medium">
        <color theme="4" tint="-0.249977111117893"/>
      </right>
      <top/>
      <bottom style="medium">
        <color theme="4" tint="-0.249977111117893"/>
      </bottom>
      <diagonal/>
    </border>
    <border>
      <left style="thin">
        <color theme="3"/>
      </left>
      <right style="thin">
        <color theme="3"/>
      </right>
      <top style="medium">
        <color theme="4" tint="-0.249977111117893"/>
      </top>
      <bottom/>
      <diagonal/>
    </border>
    <border>
      <left style="thin">
        <color theme="3"/>
      </left>
      <right style="medium">
        <color theme="4" tint="-0.249977111117893"/>
      </right>
      <top/>
      <bottom style="thin">
        <color theme="3"/>
      </bottom>
      <diagonal/>
    </border>
    <border>
      <left style="thin">
        <color theme="3"/>
      </left>
      <right style="medium">
        <color theme="4" tint="-0.249977111117893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 style="thin">
        <color theme="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 style="thin">
        <color theme="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 style="thin">
        <color theme="3"/>
      </right>
      <top style="medium">
        <color theme="4" tint="-0.249977111117893"/>
      </top>
      <bottom/>
      <diagonal/>
    </border>
    <border>
      <left/>
      <right style="thin">
        <color theme="3"/>
      </right>
      <top/>
      <bottom style="medium">
        <color theme="4" tint="-0.24994659260841701"/>
      </bottom>
      <diagonal/>
    </border>
    <border>
      <left style="medium">
        <color theme="4" tint="-0.249977111117893"/>
      </left>
      <right style="medium">
        <color theme="4" tint="-0.249977111117893"/>
      </right>
      <top/>
      <bottom style="medium">
        <color theme="4" tint="-0.249977111117893"/>
      </bottom>
      <diagonal/>
    </border>
    <border>
      <left style="medium">
        <color theme="4" tint="-0.24994659260841701"/>
      </left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 style="medium">
        <color theme="4" tint="-0.249977111117893"/>
      </right>
      <top style="medium">
        <color theme="4" tint="-0.24994659260841701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/>
      <right style="thick">
        <color rgb="FF008B28"/>
      </right>
      <top/>
      <bottom/>
      <diagonal/>
    </border>
    <border>
      <left style="medium">
        <color theme="4" tint="-0.24994659260841701"/>
      </left>
      <right style="medium">
        <color theme="4" tint="-0.249977111117893"/>
      </right>
      <top/>
      <bottom style="medium">
        <color theme="4" tint="-0.24994659260841701"/>
      </bottom>
      <diagonal/>
    </border>
    <border>
      <left style="medium">
        <color theme="4" tint="-0.249977111117893"/>
      </left>
      <right style="medium">
        <color theme="4" tint="-0.249977111117893"/>
      </right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/>
      <bottom style="medium">
        <color theme="4" tint="-0.249977111117893"/>
      </bottom>
      <diagonal/>
    </border>
    <border>
      <left style="medium">
        <color theme="4" tint="-0.24994659260841701"/>
      </left>
      <right style="medium">
        <color theme="4" tint="-0.249977111117893"/>
      </right>
      <top/>
      <bottom style="medium">
        <color theme="4" tint="-0.249977111117893"/>
      </bottom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thin">
        <color theme="3"/>
      </right>
      <top/>
      <bottom/>
      <diagonal/>
    </border>
    <border>
      <left/>
      <right style="medium">
        <color theme="4" tint="-0.249977111117893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77111117893"/>
      </left>
      <right style="medium">
        <color theme="4" tint="-0.249977111117893"/>
      </right>
      <top style="medium">
        <color theme="4" tint="-0.24994659260841701"/>
      </top>
      <bottom style="medium">
        <color theme="4" tint="-0.24994659260841701"/>
      </bottom>
      <diagonal/>
    </border>
    <border>
      <left/>
      <right style="thin">
        <color theme="3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3"/>
      </left>
      <right style="thin">
        <color theme="3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3"/>
      </left>
      <right style="medium">
        <color theme="4" tint="-0.249977111117893"/>
      </right>
      <top style="medium">
        <color theme="4" tint="-0.24994659260841701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 style="medium">
        <color theme="4" tint="-0.249977111117893"/>
      </top>
      <bottom/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77111117893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77111117893"/>
      </bottom>
      <diagonal/>
    </border>
    <border>
      <left style="medium">
        <color theme="4" tint="-0.24994659260841701"/>
      </left>
      <right/>
      <top/>
      <bottom style="medium">
        <color theme="4" tint="-0.249977111117893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4" tint="-0.249977111117893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77111117893"/>
      </top>
      <bottom/>
      <diagonal/>
    </border>
    <border>
      <left/>
      <right style="thick">
        <color rgb="FF000000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5" fillId="0" borderId="0" applyNumberFormat="0" applyFill="0" applyBorder="0" applyAlignment="0" applyProtection="0"/>
  </cellStyleXfs>
  <cellXfs count="489">
    <xf numFmtId="0" fontId="0" fillId="0" borderId="0" xfId="0"/>
    <xf numFmtId="0" fontId="7" fillId="0" borderId="10" xfId="0" applyFont="1" applyBorder="1" applyAlignment="1">
      <alignment horizontal="center"/>
    </xf>
    <xf numFmtId="0" fontId="9" fillId="0" borderId="0" xfId="0" applyFont="1"/>
    <xf numFmtId="0" fontId="10" fillId="0" borderId="16" xfId="2" applyFont="1" applyBorder="1" applyAlignment="1" applyProtection="1">
      <alignment vertical="center" wrapText="1"/>
      <protection hidden="1"/>
    </xf>
    <xf numFmtId="0" fontId="9" fillId="0" borderId="10" xfId="0" applyFont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164" fontId="14" fillId="3" borderId="19" xfId="1" applyNumberFormat="1" applyFont="1" applyFill="1" applyBorder="1" applyAlignment="1" applyProtection="1">
      <alignment vertical="center"/>
      <protection hidden="1"/>
    </xf>
    <xf numFmtId="164" fontId="14" fillId="3" borderId="20" xfId="1" applyNumberFormat="1" applyFont="1" applyFill="1" applyBorder="1" applyAlignment="1" applyProtection="1">
      <alignment vertical="center"/>
      <protection hidden="1"/>
    </xf>
    <xf numFmtId="164" fontId="14" fillId="3" borderId="21" xfId="1" applyNumberFormat="1" applyFont="1" applyFill="1" applyBorder="1" applyAlignment="1" applyProtection="1">
      <alignment vertical="center"/>
      <protection hidden="1"/>
    </xf>
    <xf numFmtId="0" fontId="9" fillId="3" borderId="20" xfId="0" applyFont="1" applyFill="1" applyBorder="1" applyAlignment="1">
      <alignment horizontal="center"/>
    </xf>
    <xf numFmtId="0" fontId="9" fillId="3" borderId="21" xfId="0" applyFont="1" applyFill="1" applyBorder="1" applyAlignment="1">
      <alignment horizontal="center"/>
    </xf>
    <xf numFmtId="0" fontId="11" fillId="2" borderId="13" xfId="2" applyFont="1" applyFill="1" applyBorder="1" applyAlignment="1" applyProtection="1">
      <alignment vertical="center" wrapText="1"/>
      <protection hidden="1"/>
    </xf>
    <xf numFmtId="0" fontId="6" fillId="0" borderId="17" xfId="2" applyFont="1" applyBorder="1" applyAlignment="1" applyProtection="1">
      <alignment horizontal="left" vertical="center"/>
      <protection hidden="1"/>
    </xf>
    <xf numFmtId="0" fontId="6" fillId="0" borderId="0" xfId="2" applyFont="1" applyAlignment="1" applyProtection="1">
      <alignment horizontal="left" vertical="center" wrapText="1"/>
      <protection hidden="1"/>
    </xf>
    <xf numFmtId="0" fontId="17" fillId="0" borderId="24" xfId="2" applyFont="1" applyBorder="1" applyAlignment="1" applyProtection="1">
      <alignment horizontal="left" vertical="center" wrapText="1"/>
      <protection hidden="1"/>
    </xf>
    <xf numFmtId="0" fontId="6" fillId="0" borderId="12" xfId="2" applyFont="1" applyBorder="1" applyAlignment="1" applyProtection="1">
      <alignment horizontal="left" vertical="center" wrapText="1"/>
      <protection hidden="1"/>
    </xf>
    <xf numFmtId="0" fontId="6" fillId="0" borderId="0" xfId="0" applyFont="1"/>
    <xf numFmtId="0" fontId="5" fillId="3" borderId="10" xfId="2" applyFont="1" applyFill="1" applyBorder="1" applyAlignment="1" applyProtection="1">
      <alignment horizontal="center" vertical="center" wrapText="1"/>
      <protection hidden="1"/>
    </xf>
    <xf numFmtId="0" fontId="6" fillId="3" borderId="10" xfId="2" applyFont="1" applyFill="1" applyBorder="1" applyAlignment="1" applyProtection="1">
      <alignment horizontal="center" vertical="center"/>
      <protection hidden="1"/>
    </xf>
    <xf numFmtId="0" fontId="6" fillId="3" borderId="10" xfId="2" applyFont="1" applyFill="1" applyBorder="1" applyAlignment="1" applyProtection="1">
      <alignment horizontal="center" vertical="center" wrapText="1"/>
      <protection hidden="1"/>
    </xf>
    <xf numFmtId="0" fontId="5" fillId="3" borderId="51" xfId="1" applyNumberFormat="1" applyFont="1" applyFill="1" applyBorder="1" applyAlignment="1" applyProtection="1">
      <alignment horizontal="center" vertical="center"/>
      <protection hidden="1"/>
    </xf>
    <xf numFmtId="0" fontId="6" fillId="3" borderId="7" xfId="1" applyNumberFormat="1" applyFont="1" applyFill="1" applyBorder="1" applyAlignment="1" applyProtection="1">
      <alignment horizontal="center" vertical="center"/>
      <protection hidden="1"/>
    </xf>
    <xf numFmtId="0" fontId="6" fillId="3" borderId="23" xfId="1" applyNumberFormat="1" applyFont="1" applyFill="1" applyBorder="1" applyAlignment="1" applyProtection="1">
      <alignment horizontal="center" vertical="center"/>
      <protection hidden="1"/>
    </xf>
    <xf numFmtId="0" fontId="6" fillId="0" borderId="32" xfId="1" applyNumberFormat="1" applyFont="1" applyFill="1" applyBorder="1" applyAlignment="1" applyProtection="1">
      <alignment horizontal="center" vertical="center"/>
      <protection hidden="1"/>
    </xf>
    <xf numFmtId="0" fontId="5" fillId="3" borderId="0" xfId="1" applyNumberFormat="1" applyFont="1" applyFill="1" applyBorder="1" applyAlignment="1" applyProtection="1">
      <alignment horizontal="center" vertical="center"/>
      <protection hidden="1"/>
    </xf>
    <xf numFmtId="0" fontId="6" fillId="3" borderId="32" xfId="1" applyNumberFormat="1" applyFont="1" applyFill="1" applyBorder="1" applyAlignment="1" applyProtection="1">
      <alignment horizontal="center" vertical="center"/>
      <protection hidden="1"/>
    </xf>
    <xf numFmtId="0" fontId="6" fillId="0" borderId="7" xfId="1" applyNumberFormat="1" applyFont="1" applyFill="1" applyBorder="1" applyAlignment="1" applyProtection="1">
      <alignment horizontal="center" vertical="center"/>
      <protection hidden="1"/>
    </xf>
    <xf numFmtId="0" fontId="7" fillId="3" borderId="50" xfId="1" applyNumberFormat="1" applyFont="1" applyFill="1" applyBorder="1" applyAlignment="1" applyProtection="1">
      <alignment horizontal="center" vertical="center"/>
      <protection hidden="1"/>
    </xf>
    <xf numFmtId="0" fontId="8" fillId="3" borderId="7" xfId="1" applyNumberFormat="1" applyFont="1" applyFill="1" applyBorder="1" applyAlignment="1" applyProtection="1">
      <alignment horizontal="center" vertical="center"/>
      <protection hidden="1"/>
    </xf>
    <xf numFmtId="0" fontId="8" fillId="3" borderId="32" xfId="1" applyNumberFormat="1" applyFont="1" applyFill="1" applyBorder="1" applyAlignment="1" applyProtection="1">
      <alignment horizontal="center" vertical="center"/>
      <protection hidden="1"/>
    </xf>
    <xf numFmtId="0" fontId="6" fillId="0" borderId="24" xfId="1" applyNumberFormat="1" applyFont="1" applyFill="1" applyBorder="1" applyAlignment="1" applyProtection="1">
      <alignment horizontal="center" vertical="center"/>
      <protection hidden="1"/>
    </xf>
    <xf numFmtId="0" fontId="5" fillId="3" borderId="74" xfId="1" applyNumberFormat="1" applyFont="1" applyFill="1" applyBorder="1" applyAlignment="1" applyProtection="1">
      <alignment horizontal="center" vertical="center"/>
      <protection hidden="1"/>
    </xf>
    <xf numFmtId="0" fontId="6" fillId="3" borderId="52" xfId="1" applyNumberFormat="1" applyFont="1" applyFill="1" applyBorder="1" applyAlignment="1" applyProtection="1">
      <alignment horizontal="center" vertical="center"/>
      <protection hidden="1"/>
    </xf>
    <xf numFmtId="0" fontId="5" fillId="0" borderId="47" xfId="1" applyNumberFormat="1" applyFont="1" applyFill="1" applyBorder="1" applyAlignment="1" applyProtection="1">
      <alignment horizontal="center" vertical="center"/>
      <protection hidden="1"/>
    </xf>
    <xf numFmtId="0" fontId="6" fillId="0" borderId="52" xfId="1" applyNumberFormat="1" applyFont="1" applyFill="1" applyBorder="1" applyAlignment="1" applyProtection="1">
      <alignment horizontal="center" vertical="center"/>
      <protection hidden="1"/>
    </xf>
    <xf numFmtId="0" fontId="7" fillId="3" borderId="47" xfId="1" applyNumberFormat="1" applyFont="1" applyFill="1" applyBorder="1" applyAlignment="1" applyProtection="1">
      <alignment horizontal="center" vertical="center"/>
      <protection hidden="1"/>
    </xf>
    <xf numFmtId="0" fontId="8" fillId="3" borderId="73" xfId="1" applyNumberFormat="1" applyFont="1" applyFill="1" applyBorder="1" applyAlignment="1" applyProtection="1">
      <alignment horizontal="center" vertical="center"/>
      <protection hidden="1"/>
    </xf>
    <xf numFmtId="0" fontId="8" fillId="3" borderId="24" xfId="1" applyNumberFormat="1" applyFont="1" applyFill="1" applyBorder="1" applyAlignment="1" applyProtection="1">
      <alignment horizontal="center" vertical="center"/>
      <protection hidden="1"/>
    </xf>
    <xf numFmtId="0" fontId="8" fillId="3" borderId="78" xfId="1" applyNumberFormat="1" applyFont="1" applyFill="1" applyBorder="1" applyAlignment="1" applyProtection="1">
      <alignment horizontal="center" vertical="center"/>
      <protection hidden="1"/>
    </xf>
    <xf numFmtId="0" fontId="5" fillId="0" borderId="56" xfId="1" applyNumberFormat="1" applyFont="1" applyFill="1" applyBorder="1" applyAlignment="1" applyProtection="1">
      <alignment horizontal="center" vertical="center"/>
      <protection hidden="1"/>
    </xf>
    <xf numFmtId="0" fontId="6" fillId="0" borderId="79" xfId="1" applyNumberFormat="1" applyFont="1" applyFill="1" applyBorder="1" applyAlignment="1" applyProtection="1">
      <alignment horizontal="center" vertical="center"/>
      <protection hidden="1"/>
    </xf>
    <xf numFmtId="0" fontId="6" fillId="0" borderId="47" xfId="1" applyNumberFormat="1" applyFont="1" applyFill="1" applyBorder="1" applyAlignment="1" applyProtection="1">
      <alignment horizontal="center" vertical="center"/>
      <protection hidden="1"/>
    </xf>
    <xf numFmtId="0" fontId="6" fillId="0" borderId="53" xfId="0" applyFont="1" applyBorder="1"/>
    <xf numFmtId="0" fontId="5" fillId="3" borderId="47" xfId="1" applyNumberFormat="1" applyFont="1" applyFill="1" applyBorder="1" applyAlignment="1" applyProtection="1">
      <alignment horizontal="center" vertical="center"/>
      <protection hidden="1"/>
    </xf>
    <xf numFmtId="0" fontId="6" fillId="3" borderId="47" xfId="1" applyNumberFormat="1" applyFont="1" applyFill="1" applyBorder="1" applyAlignment="1" applyProtection="1">
      <alignment horizontal="center" vertical="center"/>
      <protection hidden="1"/>
    </xf>
    <xf numFmtId="0" fontId="7" fillId="0" borderId="76" xfId="1" applyNumberFormat="1" applyFont="1" applyFill="1" applyBorder="1" applyAlignment="1" applyProtection="1">
      <alignment horizontal="center" vertical="center"/>
      <protection hidden="1"/>
    </xf>
    <xf numFmtId="0" fontId="8" fillId="0" borderId="73" xfId="1" applyNumberFormat="1" applyFont="1" applyFill="1" applyBorder="1" applyAlignment="1" applyProtection="1">
      <alignment horizontal="center" vertical="center"/>
      <protection hidden="1"/>
    </xf>
    <xf numFmtId="0" fontId="8" fillId="0" borderId="76" xfId="1" applyNumberFormat="1" applyFont="1" applyFill="1" applyBorder="1" applyAlignment="1" applyProtection="1">
      <alignment horizontal="center" vertical="center"/>
      <protection hidden="1"/>
    </xf>
    <xf numFmtId="0" fontId="8" fillId="3" borderId="55" xfId="1" applyNumberFormat="1" applyFont="1" applyFill="1" applyBorder="1" applyAlignment="1" applyProtection="1">
      <alignment horizontal="center" vertical="center"/>
      <protection hidden="1"/>
    </xf>
    <xf numFmtId="0" fontId="8" fillId="3" borderId="52" xfId="1" applyNumberFormat="1" applyFont="1" applyFill="1" applyBorder="1" applyAlignment="1" applyProtection="1">
      <alignment horizontal="center" vertical="center"/>
      <protection hidden="1"/>
    </xf>
    <xf numFmtId="0" fontId="8" fillId="3" borderId="47" xfId="1" applyNumberFormat="1" applyFont="1" applyFill="1" applyBorder="1" applyAlignment="1" applyProtection="1">
      <alignment horizontal="center" vertical="center"/>
      <protection hidden="1"/>
    </xf>
    <xf numFmtId="0" fontId="8" fillId="0" borderId="52" xfId="1" applyNumberFormat="1" applyFont="1" applyFill="1" applyBorder="1" applyAlignment="1" applyProtection="1">
      <alignment horizontal="center" vertical="center"/>
      <protection hidden="1"/>
    </xf>
    <xf numFmtId="0" fontId="8" fillId="0" borderId="47" xfId="1" applyNumberFormat="1" applyFont="1" applyFill="1" applyBorder="1" applyAlignment="1" applyProtection="1">
      <alignment horizontal="center" vertical="center"/>
      <protection hidden="1"/>
    </xf>
    <xf numFmtId="0" fontId="7" fillId="2" borderId="81" xfId="1" applyNumberFormat="1" applyFont="1" applyFill="1" applyBorder="1" applyAlignment="1" applyProtection="1">
      <alignment horizontal="center" vertical="center"/>
      <protection hidden="1"/>
    </xf>
    <xf numFmtId="0" fontId="8" fillId="3" borderId="76" xfId="1" applyNumberFormat="1" applyFont="1" applyFill="1" applyBorder="1" applyAlignment="1" applyProtection="1">
      <alignment horizontal="center" vertical="center"/>
      <protection hidden="1"/>
    </xf>
    <xf numFmtId="0" fontId="7" fillId="3" borderId="10" xfId="2" applyFont="1" applyFill="1" applyBorder="1" applyAlignment="1" applyProtection="1">
      <alignment horizontal="center" vertical="center"/>
      <protection hidden="1"/>
    </xf>
    <xf numFmtId="0" fontId="6" fillId="0" borderId="12" xfId="2" applyFont="1" applyBorder="1" applyAlignment="1" applyProtection="1">
      <alignment vertical="center" wrapText="1"/>
      <protection hidden="1"/>
    </xf>
    <xf numFmtId="0" fontId="6" fillId="0" borderId="0" xfId="0" applyFont="1" applyAlignment="1">
      <alignment horizontal="left" vertical="center"/>
    </xf>
    <xf numFmtId="0" fontId="5" fillId="4" borderId="0" xfId="1" applyNumberFormat="1" applyFont="1" applyFill="1" applyBorder="1" applyAlignment="1" applyProtection="1">
      <alignment horizontal="center" vertical="center"/>
      <protection hidden="1"/>
    </xf>
    <xf numFmtId="0" fontId="6" fillId="4" borderId="0" xfId="1" applyNumberFormat="1" applyFont="1" applyFill="1" applyBorder="1" applyAlignment="1" applyProtection="1">
      <alignment horizontal="center" vertical="center"/>
      <protection hidden="1"/>
    </xf>
    <xf numFmtId="0" fontId="5" fillId="4" borderId="30" xfId="1" applyNumberFormat="1" applyFont="1" applyFill="1" applyBorder="1" applyAlignment="1" applyProtection="1">
      <alignment horizontal="center" vertical="center"/>
      <protection hidden="1"/>
    </xf>
    <xf numFmtId="0" fontId="6" fillId="4" borderId="45" xfId="1" applyNumberFormat="1" applyFont="1" applyFill="1" applyBorder="1" applyAlignment="1" applyProtection="1">
      <alignment horizontal="center" vertical="center"/>
      <protection hidden="1"/>
    </xf>
    <xf numFmtId="0" fontId="7" fillId="3" borderId="12" xfId="1" applyNumberFormat="1" applyFont="1" applyFill="1" applyBorder="1" applyAlignment="1" applyProtection="1">
      <alignment horizontal="center" vertical="center"/>
      <protection hidden="1"/>
    </xf>
    <xf numFmtId="0" fontId="6" fillId="3" borderId="18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164" fontId="14" fillId="3" borderId="30" xfId="1" applyNumberFormat="1" applyFont="1" applyFill="1" applyBorder="1" applyAlignment="1" applyProtection="1">
      <alignment vertical="center"/>
      <protection hidden="1"/>
    </xf>
    <xf numFmtId="164" fontId="14" fillId="3" borderId="0" xfId="1" applyNumberFormat="1" applyFont="1" applyFill="1" applyBorder="1" applyAlignment="1" applyProtection="1">
      <alignment vertical="center"/>
      <protection hidden="1"/>
    </xf>
    <xf numFmtId="0" fontId="9" fillId="0" borderId="10" xfId="0" applyFont="1" applyBorder="1"/>
    <xf numFmtId="164" fontId="14" fillId="3" borderId="31" xfId="1" applyNumberFormat="1" applyFont="1" applyFill="1" applyBorder="1" applyAlignment="1" applyProtection="1">
      <alignment vertical="center"/>
      <protection hidden="1"/>
    </xf>
    <xf numFmtId="0" fontId="6" fillId="3" borderId="17" xfId="0" applyFont="1" applyFill="1" applyBorder="1" applyAlignment="1">
      <alignment horizontal="center"/>
    </xf>
    <xf numFmtId="0" fontId="9" fillId="3" borderId="19" xfId="0" applyFont="1" applyFill="1" applyBorder="1" applyAlignment="1">
      <alignment horizontal="left"/>
    </xf>
    <xf numFmtId="0" fontId="8" fillId="0" borderId="18" xfId="2" applyFont="1" applyBorder="1" applyAlignment="1" applyProtection="1">
      <alignment horizontal="center" wrapText="1"/>
      <protection hidden="1"/>
    </xf>
    <xf numFmtId="0" fontId="8" fillId="0" borderId="16" xfId="2" applyFont="1" applyBorder="1" applyAlignment="1" applyProtection="1">
      <alignment horizontal="center" wrapText="1"/>
      <protection hidden="1"/>
    </xf>
    <xf numFmtId="0" fontId="6" fillId="0" borderId="0" xfId="2" applyFont="1" applyAlignment="1" applyProtection="1">
      <alignment horizontal="left" vertical="center"/>
      <protection hidden="1"/>
    </xf>
    <xf numFmtId="0" fontId="23" fillId="6" borderId="0" xfId="0" applyFont="1" applyFill="1" applyAlignment="1">
      <alignment vertical="top"/>
    </xf>
    <xf numFmtId="0" fontId="25" fillId="6" borderId="0" xfId="3" applyFill="1" applyAlignment="1">
      <alignment vertical="top"/>
    </xf>
    <xf numFmtId="0" fontId="24" fillId="6" borderId="95" xfId="0" applyFont="1" applyFill="1" applyBorder="1" applyAlignment="1">
      <alignment horizontal="center" vertical="center"/>
    </xf>
    <xf numFmtId="0" fontId="23" fillId="5" borderId="0" xfId="0" applyFont="1" applyFill="1" applyAlignment="1">
      <alignment vertical="top"/>
    </xf>
    <xf numFmtId="0" fontId="25" fillId="5" borderId="0" xfId="3" applyFill="1" applyAlignment="1">
      <alignment vertical="top"/>
    </xf>
    <xf numFmtId="0" fontId="23" fillId="7" borderId="0" xfId="0" applyFont="1" applyFill="1" applyAlignment="1">
      <alignment vertical="top"/>
    </xf>
    <xf numFmtId="4" fontId="9" fillId="0" borderId="0" xfId="0" applyNumberFormat="1" applyFont="1"/>
    <xf numFmtId="4" fontId="6" fillId="0" borderId="0" xfId="0" applyNumberFormat="1" applyFont="1"/>
    <xf numFmtId="164" fontId="6" fillId="0" borderId="0" xfId="0" applyNumberFormat="1" applyFont="1"/>
    <xf numFmtId="0" fontId="8" fillId="0" borderId="0" xfId="0" applyFont="1"/>
    <xf numFmtId="0" fontId="6" fillId="0" borderId="10" xfId="2" applyFont="1" applyBorder="1" applyAlignment="1" applyProtection="1">
      <alignment vertical="center" wrapText="1"/>
      <protection hidden="1"/>
    </xf>
    <xf numFmtId="44" fontId="6" fillId="0" borderId="0" xfId="0" applyNumberFormat="1" applyFont="1"/>
    <xf numFmtId="164" fontId="14" fillId="3" borderId="30" xfId="1" applyNumberFormat="1" applyFont="1" applyFill="1" applyBorder="1" applyAlignment="1" applyProtection="1">
      <alignment horizontal="center" vertical="center"/>
      <protection hidden="1"/>
    </xf>
    <xf numFmtId="164" fontId="14" fillId="3" borderId="0" xfId="1" applyNumberFormat="1" applyFont="1" applyFill="1" applyBorder="1" applyAlignment="1" applyProtection="1">
      <alignment horizontal="center" vertical="center"/>
      <protection hidden="1"/>
    </xf>
    <xf numFmtId="0" fontId="7" fillId="0" borderId="75" xfId="2" applyNumberFormat="1" applyFont="1" applyBorder="1" applyAlignment="1" applyProtection="1">
      <alignment horizontal="center" vertical="center"/>
      <protection hidden="1"/>
    </xf>
    <xf numFmtId="0" fontId="8" fillId="0" borderId="39" xfId="2" applyNumberFormat="1" applyFont="1" applyBorder="1" applyAlignment="1" applyProtection="1">
      <alignment horizontal="center" vertical="center"/>
      <protection hidden="1"/>
    </xf>
    <xf numFmtId="0" fontId="6" fillId="0" borderId="39" xfId="2" applyNumberFormat="1" applyFont="1" applyBorder="1" applyAlignment="1" applyProtection="1">
      <alignment horizontal="center" vertical="center"/>
      <protection hidden="1"/>
    </xf>
    <xf numFmtId="0" fontId="5" fillId="3" borderId="39" xfId="2" applyNumberFormat="1" applyFont="1" applyFill="1" applyBorder="1" applyAlignment="1" applyProtection="1">
      <alignment horizontal="center" vertical="center" wrapText="1"/>
      <protection hidden="1"/>
    </xf>
    <xf numFmtId="0" fontId="6" fillId="3" borderId="39" xfId="2" applyNumberFormat="1" applyFont="1" applyFill="1" applyBorder="1" applyAlignment="1" applyProtection="1">
      <alignment horizontal="center" vertical="center"/>
      <protection hidden="1"/>
    </xf>
    <xf numFmtId="0" fontId="8" fillId="3" borderId="39" xfId="2" applyNumberFormat="1" applyFont="1" applyFill="1" applyBorder="1" applyAlignment="1" applyProtection="1">
      <alignment horizontal="center" vertical="center" wrapText="1"/>
      <protection hidden="1"/>
    </xf>
    <xf numFmtId="0" fontId="6" fillId="3" borderId="39" xfId="2" applyNumberFormat="1" applyFont="1" applyFill="1" applyBorder="1" applyAlignment="1" applyProtection="1">
      <alignment horizontal="center" vertical="center" wrapText="1"/>
      <protection hidden="1"/>
    </xf>
    <xf numFmtId="0" fontId="5" fillId="0" borderId="55" xfId="2" applyNumberFormat="1" applyFont="1" applyBorder="1" applyAlignment="1" applyProtection="1">
      <alignment horizontal="center" vertical="center"/>
      <protection hidden="1"/>
    </xf>
    <xf numFmtId="0" fontId="8" fillId="0" borderId="55" xfId="2" applyNumberFormat="1" applyFont="1" applyBorder="1" applyAlignment="1" applyProtection="1">
      <alignment horizontal="center" vertical="center"/>
      <protection hidden="1"/>
    </xf>
    <xf numFmtId="0" fontId="5" fillId="3" borderId="52" xfId="2" applyNumberFormat="1" applyFont="1" applyFill="1" applyBorder="1" applyAlignment="1" applyProtection="1">
      <alignment horizontal="center" vertical="center"/>
      <protection hidden="1"/>
    </xf>
    <xf numFmtId="0" fontId="6" fillId="3" borderId="47" xfId="2" applyNumberFormat="1" applyFont="1" applyFill="1" applyBorder="1" applyAlignment="1" applyProtection="1">
      <alignment horizontal="center" vertical="center"/>
      <protection hidden="1"/>
    </xf>
    <xf numFmtId="0" fontId="7" fillId="0" borderId="52" xfId="2" applyNumberFormat="1" applyFont="1" applyBorder="1" applyAlignment="1" applyProtection="1">
      <alignment horizontal="center" vertical="center"/>
      <protection hidden="1"/>
    </xf>
    <xf numFmtId="0" fontId="6" fillId="0" borderId="47" xfId="2" applyNumberFormat="1" applyFont="1" applyBorder="1" applyAlignment="1" applyProtection="1">
      <alignment horizontal="center" vertical="center"/>
      <protection hidden="1"/>
    </xf>
    <xf numFmtId="0" fontId="7" fillId="0" borderId="73" xfId="2" applyNumberFormat="1" applyFont="1" applyBorder="1" applyAlignment="1" applyProtection="1">
      <alignment horizontal="center" vertical="center"/>
      <protection hidden="1"/>
    </xf>
    <xf numFmtId="0" fontId="8" fillId="3" borderId="47" xfId="2" applyNumberFormat="1" applyFont="1" applyFill="1" applyBorder="1" applyAlignment="1" applyProtection="1">
      <alignment horizontal="center" vertical="center"/>
      <protection hidden="1"/>
    </xf>
    <xf numFmtId="0" fontId="5" fillId="0" borderId="52" xfId="2" applyNumberFormat="1" applyFont="1" applyBorder="1" applyAlignment="1" applyProtection="1">
      <alignment horizontal="center" vertical="center"/>
      <protection hidden="1"/>
    </xf>
    <xf numFmtId="0" fontId="6" fillId="0" borderId="94" xfId="2" applyNumberFormat="1" applyFont="1" applyBorder="1" applyAlignment="1" applyProtection="1">
      <alignment horizontal="center" vertical="center" wrapText="1"/>
      <protection hidden="1"/>
    </xf>
    <xf numFmtId="0" fontId="6" fillId="0" borderId="90" xfId="2" applyNumberFormat="1" applyFont="1" applyBorder="1" applyAlignment="1" applyProtection="1">
      <alignment horizontal="center" vertical="center"/>
      <protection hidden="1"/>
    </xf>
    <xf numFmtId="0" fontId="7" fillId="3" borderId="52" xfId="2" applyNumberFormat="1" applyFont="1" applyFill="1" applyBorder="1" applyAlignment="1" applyProtection="1">
      <alignment horizontal="center" vertical="center"/>
      <protection hidden="1"/>
    </xf>
    <xf numFmtId="0" fontId="6" fillId="3" borderId="93" xfId="2" applyNumberFormat="1" applyFont="1" applyFill="1" applyBorder="1" applyAlignment="1" applyProtection="1">
      <alignment horizontal="center" vertical="center" wrapText="1"/>
      <protection hidden="1"/>
    </xf>
    <xf numFmtId="0" fontId="8" fillId="3" borderId="91" xfId="2" applyNumberFormat="1" applyFont="1" applyFill="1" applyBorder="1" applyAlignment="1" applyProtection="1">
      <alignment horizontal="center" vertical="center"/>
      <protection hidden="1"/>
    </xf>
    <xf numFmtId="0" fontId="8" fillId="0" borderId="17" xfId="2" applyNumberFormat="1" applyFont="1" applyBorder="1" applyAlignment="1" applyProtection="1">
      <alignment horizontal="center" vertical="center"/>
      <protection hidden="1"/>
    </xf>
    <xf numFmtId="0" fontId="8" fillId="3" borderId="31" xfId="2" applyNumberFormat="1" applyFont="1" applyFill="1" applyBorder="1" applyAlignment="1" applyProtection="1">
      <alignment horizontal="center" vertical="center"/>
      <protection hidden="1"/>
    </xf>
    <xf numFmtId="0" fontId="6" fillId="0" borderId="31" xfId="2" applyNumberFormat="1" applyFont="1" applyBorder="1" applyAlignment="1" applyProtection="1">
      <alignment horizontal="center" vertical="center"/>
      <protection hidden="1"/>
    </xf>
    <xf numFmtId="0" fontId="5" fillId="0" borderId="85" xfId="2" applyNumberFormat="1" applyFont="1" applyBorder="1" applyAlignment="1" applyProtection="1">
      <alignment horizontal="center" vertical="center"/>
      <protection hidden="1"/>
    </xf>
    <xf numFmtId="0" fontId="6" fillId="3" borderId="31" xfId="2" applyNumberFormat="1" applyFont="1" applyFill="1" applyBorder="1" applyAlignment="1" applyProtection="1">
      <alignment horizontal="center" vertical="center"/>
      <protection hidden="1"/>
    </xf>
    <xf numFmtId="0" fontId="6" fillId="3" borderId="10" xfId="2" applyNumberFormat="1" applyFont="1" applyFill="1" applyBorder="1" applyAlignment="1" applyProtection="1">
      <alignment horizontal="center" vertical="center"/>
      <protection hidden="1"/>
    </xf>
    <xf numFmtId="0" fontId="8" fillId="3" borderId="24" xfId="2" applyNumberFormat="1" applyFont="1" applyFill="1" applyBorder="1" applyAlignment="1" applyProtection="1">
      <alignment horizontal="center" vertical="center"/>
      <protection hidden="1"/>
    </xf>
    <xf numFmtId="0" fontId="7" fillId="0" borderId="10" xfId="1" applyNumberFormat="1" applyFont="1" applyFill="1" applyBorder="1" applyAlignment="1" applyProtection="1">
      <alignment horizontal="center" vertical="center"/>
      <protection hidden="1"/>
    </xf>
    <xf numFmtId="0" fontId="6" fillId="3" borderId="13" xfId="2" applyNumberFormat="1" applyFont="1" applyFill="1" applyBorder="1" applyAlignment="1" applyProtection="1">
      <alignment horizontal="left" vertical="center"/>
      <protection hidden="1"/>
    </xf>
    <xf numFmtId="0" fontId="8" fillId="3" borderId="10" xfId="2" applyNumberFormat="1" applyFont="1" applyFill="1" applyBorder="1" applyAlignment="1" applyProtection="1">
      <alignment horizontal="center" vertical="center"/>
      <protection hidden="1"/>
    </xf>
    <xf numFmtId="0" fontId="8" fillId="0" borderId="12" xfId="1" applyNumberFormat="1" applyFont="1" applyFill="1" applyBorder="1" applyAlignment="1" applyProtection="1">
      <alignment horizontal="right" vertical="center"/>
      <protection hidden="1"/>
    </xf>
    <xf numFmtId="0" fontId="8" fillId="0" borderId="13" xfId="1" applyNumberFormat="1" applyFont="1" applyFill="1" applyBorder="1" applyAlignment="1" applyProtection="1">
      <alignment horizontal="right" vertical="center"/>
      <protection hidden="1"/>
    </xf>
    <xf numFmtId="0" fontId="6" fillId="0" borderId="12" xfId="2" applyFont="1" applyBorder="1" applyAlignment="1" applyProtection="1">
      <alignment vertical="top" wrapText="1"/>
      <protection hidden="1"/>
    </xf>
    <xf numFmtId="0" fontId="6" fillId="0" borderId="23" xfId="2" applyFont="1" applyBorder="1" applyAlignment="1" applyProtection="1">
      <alignment horizontal="left" vertical="top" wrapText="1"/>
      <protection hidden="1"/>
    </xf>
    <xf numFmtId="0" fontId="6" fillId="0" borderId="24" xfId="2" applyFont="1" applyBorder="1" applyAlignment="1" applyProtection="1">
      <alignment horizontal="left" vertical="top" wrapText="1"/>
      <protection hidden="1"/>
    </xf>
    <xf numFmtId="0" fontId="6" fillId="0" borderId="2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3" fillId="3" borderId="29" xfId="1" applyNumberFormat="1" applyFont="1" applyFill="1" applyBorder="1" applyAlignment="1" applyProtection="1">
      <alignment horizontal="right" vertical="center"/>
    </xf>
    <xf numFmtId="0" fontId="6" fillId="3" borderId="16" xfId="1" applyNumberFormat="1" applyFont="1" applyFill="1" applyBorder="1" applyAlignment="1" applyProtection="1">
      <alignment horizontal="right" vertical="center"/>
      <protection hidden="1"/>
    </xf>
    <xf numFmtId="0" fontId="6" fillId="3" borderId="17" xfId="1" applyNumberFormat="1" applyFont="1" applyFill="1" applyBorder="1" applyAlignment="1" applyProtection="1">
      <alignment horizontal="right" vertical="center"/>
      <protection hidden="1"/>
    </xf>
    <xf numFmtId="0" fontId="5" fillId="0" borderId="30" xfId="2" applyNumberFormat="1" applyFont="1" applyBorder="1" applyAlignment="1" applyProtection="1">
      <alignment horizontal="left" vertical="center" wrapText="1"/>
      <protection hidden="1"/>
    </xf>
    <xf numFmtId="0" fontId="5" fillId="0" borderId="0" xfId="2" applyNumberFormat="1" applyFont="1" applyAlignment="1" applyProtection="1">
      <alignment horizontal="left" vertical="center"/>
      <protection hidden="1"/>
    </xf>
    <xf numFmtId="0" fontId="5" fillId="0" borderId="31" xfId="2" applyNumberFormat="1" applyFont="1" applyBorder="1" applyAlignment="1" applyProtection="1">
      <alignment horizontal="left" vertical="center"/>
      <protection hidden="1"/>
    </xf>
    <xf numFmtId="0" fontId="5" fillId="4" borderId="0" xfId="1" applyNumberFormat="1" applyFont="1" applyFill="1" applyBorder="1" applyAlignment="1" applyProtection="1">
      <alignment horizontal="right" vertical="center"/>
      <protection hidden="1"/>
    </xf>
    <xf numFmtId="0" fontId="6" fillId="4" borderId="0" xfId="1" applyNumberFormat="1" applyFont="1" applyFill="1" applyBorder="1" applyAlignment="1" applyProtection="1">
      <alignment horizontal="right" vertical="center"/>
      <protection hidden="1"/>
    </xf>
    <xf numFmtId="0" fontId="6" fillId="0" borderId="30" xfId="1" applyNumberFormat="1" applyFont="1" applyFill="1" applyBorder="1" applyAlignment="1" applyProtection="1">
      <alignment horizontal="right" vertical="center"/>
      <protection hidden="1"/>
    </xf>
    <xf numFmtId="0" fontId="6" fillId="0" borderId="0" xfId="1" applyNumberFormat="1" applyFont="1" applyFill="1" applyBorder="1" applyAlignment="1" applyProtection="1">
      <alignment horizontal="right" vertical="center"/>
      <protection hidden="1"/>
    </xf>
    <xf numFmtId="0" fontId="6" fillId="0" borderId="31" xfId="1" applyNumberFormat="1" applyFont="1" applyFill="1" applyBorder="1" applyAlignment="1" applyProtection="1">
      <alignment horizontal="right" vertical="center"/>
      <protection hidden="1"/>
    </xf>
    <xf numFmtId="0" fontId="7" fillId="0" borderId="26" xfId="2" applyNumberFormat="1" applyFont="1" applyBorder="1" applyAlignment="1" applyProtection="1">
      <alignment horizontal="center" vertical="center" textRotation="90"/>
      <protection hidden="1"/>
    </xf>
    <xf numFmtId="0" fontId="7" fillId="0" borderId="27" xfId="2" applyNumberFormat="1" applyFont="1" applyBorder="1" applyAlignment="1" applyProtection="1">
      <alignment horizontal="center" vertical="center" textRotation="90"/>
      <protection hidden="1"/>
    </xf>
    <xf numFmtId="0" fontId="7" fillId="0" borderId="37" xfId="2" applyNumberFormat="1" applyFont="1" applyBorder="1" applyAlignment="1" applyProtection="1">
      <alignment horizontal="center" vertical="center" textRotation="90"/>
      <protection hidden="1"/>
    </xf>
    <xf numFmtId="0" fontId="5" fillId="0" borderId="13" xfId="2" applyNumberFormat="1" applyFont="1" applyBorder="1" applyAlignment="1" applyProtection="1">
      <alignment horizontal="center" vertical="center"/>
      <protection hidden="1"/>
    </xf>
    <xf numFmtId="0" fontId="5" fillId="0" borderId="10" xfId="2" applyNumberFormat="1" applyFont="1" applyBorder="1" applyAlignment="1" applyProtection="1">
      <alignment horizontal="center" vertical="center"/>
      <protection hidden="1"/>
    </xf>
    <xf numFmtId="0" fontId="6" fillId="0" borderId="10" xfId="2" applyNumberFormat="1" applyFont="1" applyBorder="1" applyAlignment="1" applyProtection="1">
      <alignment horizontal="center" vertical="center" wrapText="1"/>
      <protection hidden="1"/>
    </xf>
    <xf numFmtId="0" fontId="5" fillId="3" borderId="14" xfId="2" applyNumberFormat="1" applyFont="1" applyFill="1" applyBorder="1" applyAlignment="1" applyProtection="1">
      <alignment horizontal="left" vertical="center"/>
      <protection hidden="1"/>
    </xf>
    <xf numFmtId="0" fontId="5" fillId="3" borderId="15" xfId="2" applyNumberFormat="1" applyFont="1" applyFill="1" applyBorder="1" applyAlignment="1" applyProtection="1">
      <alignment horizontal="left" vertical="center"/>
      <protection hidden="1"/>
    </xf>
    <xf numFmtId="0" fontId="5" fillId="3" borderId="33" xfId="2" applyNumberFormat="1" applyFont="1" applyFill="1" applyBorder="1" applyAlignment="1" applyProtection="1">
      <alignment horizontal="left" vertical="center"/>
      <protection hidden="1"/>
    </xf>
    <xf numFmtId="0" fontId="5" fillId="3" borderId="16" xfId="1" applyNumberFormat="1" applyFont="1" applyFill="1" applyBorder="1" applyAlignment="1" applyProtection="1">
      <alignment horizontal="right" vertical="center"/>
      <protection hidden="1"/>
    </xf>
    <xf numFmtId="0" fontId="5" fillId="3" borderId="46" xfId="1" applyNumberFormat="1" applyFont="1" applyFill="1" applyBorder="1" applyAlignment="1" applyProtection="1">
      <alignment horizontal="right" vertical="center"/>
      <protection hidden="1"/>
    </xf>
    <xf numFmtId="0" fontId="3" fillId="3" borderId="25" xfId="1" applyNumberFormat="1" applyFont="1" applyFill="1" applyBorder="1" applyAlignment="1" applyProtection="1">
      <alignment horizontal="right" vertical="center"/>
    </xf>
    <xf numFmtId="0" fontId="6" fillId="3" borderId="0" xfId="1" applyNumberFormat="1" applyFont="1" applyFill="1" applyBorder="1" applyAlignment="1" applyProtection="1">
      <alignment horizontal="right" vertical="center"/>
      <protection hidden="1"/>
    </xf>
    <xf numFmtId="0" fontId="5" fillId="3" borderId="30" xfId="2" applyNumberFormat="1" applyFont="1" applyFill="1" applyBorder="1" applyAlignment="1" applyProtection="1">
      <alignment horizontal="left" vertical="center" wrapText="1"/>
      <protection hidden="1"/>
    </xf>
    <xf numFmtId="0" fontId="5" fillId="3" borderId="0" xfId="2" applyNumberFormat="1" applyFont="1" applyFill="1" applyAlignment="1" applyProtection="1">
      <alignment horizontal="left" vertical="center"/>
      <protection hidden="1"/>
    </xf>
    <xf numFmtId="0" fontId="5" fillId="3" borderId="31" xfId="2" applyNumberFormat="1" applyFont="1" applyFill="1" applyBorder="1" applyAlignment="1" applyProtection="1">
      <alignment horizontal="left" vertical="center"/>
      <protection hidden="1"/>
    </xf>
    <xf numFmtId="0" fontId="5" fillId="3" borderId="53" xfId="1" applyNumberFormat="1" applyFont="1" applyFill="1" applyBorder="1" applyAlignment="1" applyProtection="1">
      <alignment horizontal="right" vertical="center"/>
      <protection hidden="1"/>
    </xf>
    <xf numFmtId="0" fontId="5" fillId="3" borderId="0" xfId="1" applyNumberFormat="1" applyFont="1" applyFill="1" applyBorder="1" applyAlignment="1" applyProtection="1">
      <alignment horizontal="right" vertical="center"/>
      <protection hidden="1"/>
    </xf>
    <xf numFmtId="0" fontId="5" fillId="3" borderId="47" xfId="1" applyNumberFormat="1" applyFont="1" applyFill="1" applyBorder="1" applyAlignment="1" applyProtection="1">
      <alignment horizontal="right" vertical="center"/>
      <protection hidden="1"/>
    </xf>
    <xf numFmtId="0" fontId="6" fillId="3" borderId="6" xfId="1" applyNumberFormat="1" applyFont="1" applyFill="1" applyBorder="1" applyAlignment="1" applyProtection="1">
      <alignment horizontal="right" vertical="center"/>
      <protection hidden="1"/>
    </xf>
    <xf numFmtId="0" fontId="6" fillId="3" borderId="30" xfId="1" applyNumberFormat="1" applyFont="1" applyFill="1" applyBorder="1" applyAlignment="1" applyProtection="1">
      <alignment horizontal="right" vertical="center"/>
      <protection hidden="1"/>
    </xf>
    <xf numFmtId="0" fontId="6" fillId="3" borderId="31" xfId="1" applyNumberFormat="1" applyFont="1" applyFill="1" applyBorder="1" applyAlignment="1" applyProtection="1">
      <alignment horizontal="right" vertical="center"/>
      <protection hidden="1"/>
    </xf>
    <xf numFmtId="0" fontId="5" fillId="4" borderId="47" xfId="1" applyNumberFormat="1" applyFont="1" applyFill="1" applyBorder="1" applyAlignment="1" applyProtection="1">
      <alignment horizontal="right" vertical="center"/>
      <protection hidden="1"/>
    </xf>
    <xf numFmtId="0" fontId="15" fillId="0" borderId="30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0" fillId="0" borderId="13" xfId="2" applyFont="1" applyBorder="1" applyAlignment="1" applyProtection="1">
      <alignment horizontal="center" vertical="center" wrapText="1"/>
      <protection hidden="1"/>
    </xf>
    <xf numFmtId="0" fontId="10" fillId="0" borderId="10" xfId="2" applyFont="1" applyBorder="1" applyAlignment="1" applyProtection="1">
      <alignment horizontal="center" vertical="center" wrapText="1"/>
      <protection hidden="1"/>
    </xf>
    <xf numFmtId="0" fontId="10" fillId="0" borderId="22" xfId="2" applyFont="1" applyBorder="1" applyAlignment="1" applyProtection="1">
      <alignment horizontal="center" vertical="center" wrapText="1"/>
      <protection hidden="1"/>
    </xf>
    <xf numFmtId="3" fontId="6" fillId="0" borderId="10" xfId="1" applyNumberFormat="1" applyFont="1" applyFill="1" applyBorder="1" applyAlignment="1" applyProtection="1">
      <alignment horizontal="center" vertical="center" wrapText="1"/>
      <protection hidden="1"/>
    </xf>
    <xf numFmtId="0" fontId="6" fillId="3" borderId="10" xfId="2" applyFont="1" applyFill="1" applyBorder="1" applyAlignment="1" applyProtection="1">
      <alignment horizontal="left" vertical="center" wrapText="1"/>
      <protection hidden="1"/>
    </xf>
    <xf numFmtId="164" fontId="6" fillId="0" borderId="10" xfId="1" applyNumberFormat="1" applyFont="1" applyFill="1" applyBorder="1" applyAlignment="1" applyProtection="1">
      <alignment horizontal="center" vertical="center" wrapText="1"/>
      <protection hidden="1"/>
    </xf>
    <xf numFmtId="0" fontId="8" fillId="0" borderId="18" xfId="2" applyFont="1" applyBorder="1" applyAlignment="1" applyProtection="1">
      <alignment horizontal="center" vertical="center" textRotation="90" wrapText="1"/>
      <protection hidden="1"/>
    </xf>
    <xf numFmtId="0" fontId="8" fillId="0" borderId="17" xfId="2" applyFont="1" applyBorder="1" applyAlignment="1" applyProtection="1">
      <alignment horizontal="center" vertical="center" textRotation="90" wrapText="1"/>
      <protection hidden="1"/>
    </xf>
    <xf numFmtId="0" fontId="8" fillId="0" borderId="19" xfId="2" applyFont="1" applyBorder="1" applyAlignment="1" applyProtection="1">
      <alignment horizontal="center" vertical="center" textRotation="90" wrapText="1"/>
      <protection hidden="1"/>
    </xf>
    <xf numFmtId="0" fontId="8" fillId="0" borderId="21" xfId="2" applyFont="1" applyBorder="1" applyAlignment="1" applyProtection="1">
      <alignment horizontal="center" vertical="center" textRotation="90" wrapText="1"/>
      <protection hidden="1"/>
    </xf>
    <xf numFmtId="0" fontId="6" fillId="0" borderId="16" xfId="2" applyFont="1" applyBorder="1" applyAlignment="1" applyProtection="1">
      <alignment horizontal="left" vertical="center" wrapText="1"/>
      <protection hidden="1"/>
    </xf>
    <xf numFmtId="0" fontId="13" fillId="0" borderId="10" xfId="0" applyFont="1" applyBorder="1" applyAlignment="1">
      <alignment horizontal="center" vertical="center"/>
    </xf>
    <xf numFmtId="0" fontId="12" fillId="3" borderId="22" xfId="2" applyFont="1" applyFill="1" applyBorder="1" applyAlignment="1" applyProtection="1">
      <alignment horizontal="center" vertical="center" wrapText="1"/>
      <protection hidden="1"/>
    </xf>
    <xf numFmtId="0" fontId="12" fillId="3" borderId="12" xfId="2" applyFont="1" applyFill="1" applyBorder="1" applyAlignment="1" applyProtection="1">
      <alignment horizontal="center" vertical="center" wrapText="1"/>
      <protection hidden="1"/>
    </xf>
    <xf numFmtId="0" fontId="12" fillId="3" borderId="13" xfId="2" applyFont="1" applyFill="1" applyBorder="1" applyAlignment="1" applyProtection="1">
      <alignment horizontal="center" vertical="center" wrapText="1"/>
      <protection hidden="1"/>
    </xf>
    <xf numFmtId="0" fontId="4" fillId="0" borderId="19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/>
    </xf>
    <xf numFmtId="0" fontId="4" fillId="0" borderId="21" xfId="0" applyFont="1" applyBorder="1" applyAlignment="1">
      <alignment horizontal="left" vertical="top"/>
    </xf>
    <xf numFmtId="0" fontId="10" fillId="0" borderId="16" xfId="2" applyFont="1" applyBorder="1" applyAlignment="1" applyProtection="1">
      <alignment horizontal="center" vertical="center" wrapText="1"/>
      <protection hidden="1"/>
    </xf>
    <xf numFmtId="0" fontId="10" fillId="0" borderId="17" xfId="2" applyFont="1" applyBorder="1" applyAlignment="1" applyProtection="1">
      <alignment horizontal="center" vertical="center" wrapText="1"/>
      <protection hidden="1"/>
    </xf>
    <xf numFmtId="0" fontId="10" fillId="0" borderId="0" xfId="2" applyFont="1" applyAlignment="1" applyProtection="1">
      <alignment horizontal="center" vertical="center" wrapText="1"/>
      <protection hidden="1"/>
    </xf>
    <xf numFmtId="0" fontId="10" fillId="0" borderId="31" xfId="2" applyFont="1" applyBorder="1" applyAlignment="1" applyProtection="1">
      <alignment horizontal="center" vertical="center" wrapText="1"/>
      <protection hidden="1"/>
    </xf>
    <xf numFmtId="0" fontId="6" fillId="0" borderId="19" xfId="2" applyFont="1" applyBorder="1" applyAlignment="1" applyProtection="1">
      <alignment horizontal="center" vertical="center" wrapText="1"/>
      <protection hidden="1"/>
    </xf>
    <xf numFmtId="0" fontId="6" fillId="0" borderId="20" xfId="2" applyFont="1" applyBorder="1" applyAlignment="1" applyProtection="1">
      <alignment horizontal="center" vertical="center" wrapText="1"/>
      <protection hidden="1"/>
    </xf>
    <xf numFmtId="0" fontId="6" fillId="0" borderId="21" xfId="2" applyFont="1" applyBorder="1" applyAlignment="1" applyProtection="1">
      <alignment horizontal="center" vertical="center" wrapText="1"/>
      <protection hidden="1"/>
    </xf>
    <xf numFmtId="0" fontId="6" fillId="0" borderId="0" xfId="2" applyFont="1" applyAlignment="1" applyProtection="1">
      <alignment horizontal="left" vertical="center" wrapText="1"/>
      <protection hidden="1"/>
    </xf>
    <xf numFmtId="0" fontId="6" fillId="0" borderId="18" xfId="2" applyFont="1" applyBorder="1" applyAlignment="1" applyProtection="1">
      <alignment horizontal="left" vertical="center" wrapText="1"/>
      <protection hidden="1"/>
    </xf>
    <xf numFmtId="0" fontId="8" fillId="0" borderId="30" xfId="2" applyFont="1" applyBorder="1" applyAlignment="1" applyProtection="1">
      <alignment horizontal="left" vertical="top" wrapText="1"/>
      <protection hidden="1"/>
    </xf>
    <xf numFmtId="0" fontId="8" fillId="0" borderId="0" xfId="2" applyFont="1" applyAlignment="1" applyProtection="1">
      <alignment horizontal="left" vertical="top" wrapText="1"/>
      <protection hidden="1"/>
    </xf>
    <xf numFmtId="0" fontId="8" fillId="0" borderId="31" xfId="2" applyFont="1" applyBorder="1" applyAlignment="1" applyProtection="1">
      <alignment horizontal="left" vertical="top" wrapText="1"/>
      <protection hidden="1"/>
    </xf>
    <xf numFmtId="0" fontId="8" fillId="0" borderId="19" xfId="2" applyFont="1" applyBorder="1" applyAlignment="1" applyProtection="1">
      <alignment horizontal="left" vertical="top" wrapText="1"/>
      <protection hidden="1"/>
    </xf>
    <xf numFmtId="0" fontId="8" fillId="0" borderId="20" xfId="2" applyFont="1" applyBorder="1" applyAlignment="1" applyProtection="1">
      <alignment horizontal="left" vertical="top" wrapText="1"/>
      <protection hidden="1"/>
    </xf>
    <xf numFmtId="0" fontId="8" fillId="0" borderId="21" xfId="2" applyFont="1" applyBorder="1" applyAlignment="1" applyProtection="1">
      <alignment horizontal="left" vertical="top" wrapText="1"/>
      <protection hidden="1"/>
    </xf>
    <xf numFmtId="0" fontId="6" fillId="0" borderId="12" xfId="2" applyFont="1" applyBorder="1" applyAlignment="1" applyProtection="1">
      <alignment horizontal="left" vertical="center" wrapText="1"/>
      <protection hidden="1"/>
    </xf>
    <xf numFmtId="0" fontId="6" fillId="0" borderId="6" xfId="1" applyNumberFormat="1" applyFont="1" applyFill="1" applyBorder="1" applyAlignment="1" applyProtection="1">
      <alignment horizontal="right" vertical="center"/>
      <protection hidden="1"/>
    </xf>
    <xf numFmtId="0" fontId="7" fillId="3" borderId="30" xfId="2" applyNumberFormat="1" applyFont="1" applyFill="1" applyBorder="1" applyAlignment="1" applyProtection="1">
      <alignment horizontal="left" vertical="center"/>
      <protection hidden="1"/>
    </xf>
    <xf numFmtId="0" fontId="7" fillId="3" borderId="0" xfId="2" applyNumberFormat="1" applyFont="1" applyFill="1" applyAlignment="1" applyProtection="1">
      <alignment horizontal="left" vertical="center"/>
      <protection hidden="1"/>
    </xf>
    <xf numFmtId="0" fontId="7" fillId="3" borderId="31" xfId="2" applyNumberFormat="1" applyFont="1" applyFill="1" applyBorder="1" applyAlignment="1" applyProtection="1">
      <alignment horizontal="left" vertical="center"/>
      <protection hidden="1"/>
    </xf>
    <xf numFmtId="0" fontId="7" fillId="3" borderId="0" xfId="1" applyNumberFormat="1" applyFont="1" applyFill="1" applyBorder="1" applyAlignment="1" applyProtection="1">
      <alignment horizontal="right" vertical="center"/>
      <protection hidden="1"/>
    </xf>
    <xf numFmtId="0" fontId="7" fillId="3" borderId="47" xfId="1" applyNumberFormat="1" applyFont="1" applyFill="1" applyBorder="1" applyAlignment="1" applyProtection="1">
      <alignment horizontal="right" vertical="center"/>
      <protection hidden="1"/>
    </xf>
    <xf numFmtId="0" fontId="8" fillId="3" borderId="6" xfId="1" applyNumberFormat="1" applyFont="1" applyFill="1" applyBorder="1" applyAlignment="1" applyProtection="1">
      <alignment horizontal="right" vertical="center"/>
      <protection hidden="1"/>
    </xf>
    <xf numFmtId="0" fontId="8" fillId="3" borderId="0" xfId="1" applyNumberFormat="1" applyFont="1" applyFill="1" applyBorder="1" applyAlignment="1" applyProtection="1">
      <alignment horizontal="right" vertical="center"/>
      <protection hidden="1"/>
    </xf>
    <xf numFmtId="0" fontId="8" fillId="3" borderId="30" xfId="1" applyNumberFormat="1" applyFont="1" applyFill="1" applyBorder="1" applyAlignment="1" applyProtection="1">
      <alignment horizontal="right" vertical="center"/>
      <protection hidden="1"/>
    </xf>
    <xf numFmtId="0" fontId="8" fillId="3" borderId="31" xfId="1" applyNumberFormat="1" applyFont="1" applyFill="1" applyBorder="1" applyAlignment="1" applyProtection="1">
      <alignment horizontal="right" vertical="center"/>
      <protection hidden="1"/>
    </xf>
    <xf numFmtId="0" fontId="5" fillId="0" borderId="19" xfId="2" applyNumberFormat="1" applyFont="1" applyBorder="1" applyAlignment="1" applyProtection="1">
      <alignment horizontal="left" vertical="center" wrapText="1"/>
      <protection hidden="1"/>
    </xf>
    <xf numFmtId="0" fontId="5" fillId="0" borderId="20" xfId="2" applyNumberFormat="1" applyFont="1" applyBorder="1" applyAlignment="1" applyProtection="1">
      <alignment horizontal="left" vertical="center"/>
      <protection hidden="1"/>
    </xf>
    <xf numFmtId="0" fontId="5" fillId="0" borderId="21" xfId="2" applyNumberFormat="1" applyFont="1" applyBorder="1" applyAlignment="1" applyProtection="1">
      <alignment horizontal="left" vertical="center"/>
      <protection hidden="1"/>
    </xf>
    <xf numFmtId="0" fontId="5" fillId="4" borderId="45" xfId="1" applyNumberFormat="1" applyFont="1" applyFill="1" applyBorder="1" applyAlignment="1" applyProtection="1">
      <alignment horizontal="right" vertical="center"/>
      <protection hidden="1"/>
    </xf>
    <xf numFmtId="0" fontId="6" fillId="4" borderId="45" xfId="1" applyNumberFormat="1" applyFont="1" applyFill="1" applyBorder="1" applyAlignment="1" applyProtection="1">
      <alignment horizontal="right" vertical="center"/>
      <protection hidden="1"/>
    </xf>
    <xf numFmtId="0" fontId="6" fillId="0" borderId="19" xfId="1" applyNumberFormat="1" applyFont="1" applyFill="1" applyBorder="1" applyAlignment="1" applyProtection="1">
      <alignment horizontal="right" vertical="center"/>
      <protection hidden="1"/>
    </xf>
    <xf numFmtId="0" fontId="6" fillId="0" borderId="20" xfId="1" applyNumberFormat="1" applyFont="1" applyFill="1" applyBorder="1" applyAlignment="1" applyProtection="1">
      <alignment horizontal="right" vertical="center"/>
      <protection hidden="1"/>
    </xf>
    <xf numFmtId="0" fontId="6" fillId="0" borderId="21" xfId="1" applyNumberFormat="1" applyFont="1" applyFill="1" applyBorder="1" applyAlignment="1" applyProtection="1">
      <alignment horizontal="right" vertical="center"/>
      <protection hidden="1"/>
    </xf>
    <xf numFmtId="0" fontId="7" fillId="3" borderId="19" xfId="2" applyNumberFormat="1" applyFont="1" applyFill="1" applyBorder="1" applyAlignment="1" applyProtection="1">
      <alignment horizontal="left" vertical="center"/>
      <protection hidden="1"/>
    </xf>
    <xf numFmtId="0" fontId="7" fillId="3" borderId="20" xfId="2" applyNumberFormat="1" applyFont="1" applyFill="1" applyBorder="1" applyAlignment="1" applyProtection="1">
      <alignment horizontal="left" vertical="center"/>
      <protection hidden="1"/>
    </xf>
    <xf numFmtId="0" fontId="7" fillId="3" borderId="21" xfId="2" applyNumberFormat="1" applyFont="1" applyFill="1" applyBorder="1" applyAlignment="1" applyProtection="1">
      <alignment horizontal="left" vertical="center"/>
      <protection hidden="1"/>
    </xf>
    <xf numFmtId="0" fontId="7" fillId="3" borderId="8" xfId="1" applyNumberFormat="1" applyFont="1" applyFill="1" applyBorder="1" applyAlignment="1" applyProtection="1">
      <alignment horizontal="right" vertical="center"/>
      <protection hidden="1"/>
    </xf>
    <xf numFmtId="0" fontId="7" fillId="3" borderId="48" xfId="1" applyNumberFormat="1" applyFont="1" applyFill="1" applyBorder="1" applyAlignment="1" applyProtection="1">
      <alignment horizontal="right" vertical="center"/>
      <protection hidden="1"/>
    </xf>
    <xf numFmtId="0" fontId="8" fillId="3" borderId="45" xfId="1" applyNumberFormat="1" applyFont="1" applyFill="1" applyBorder="1" applyAlignment="1" applyProtection="1">
      <alignment horizontal="right" vertical="center"/>
      <protection hidden="1"/>
    </xf>
    <xf numFmtId="0" fontId="8" fillId="3" borderId="80" xfId="1" applyNumberFormat="1" applyFont="1" applyFill="1" applyBorder="1" applyAlignment="1" applyProtection="1">
      <alignment horizontal="right" vertical="center"/>
      <protection hidden="1"/>
    </xf>
    <xf numFmtId="0" fontId="8" fillId="3" borderId="19" xfId="1" applyNumberFormat="1" applyFont="1" applyFill="1" applyBorder="1" applyAlignment="1" applyProtection="1">
      <alignment horizontal="right" vertical="center"/>
      <protection hidden="1"/>
    </xf>
    <xf numFmtId="0" fontId="8" fillId="3" borderId="20" xfId="1" applyNumberFormat="1" applyFont="1" applyFill="1" applyBorder="1" applyAlignment="1" applyProtection="1">
      <alignment horizontal="right" vertical="center"/>
      <protection hidden="1"/>
    </xf>
    <xf numFmtId="0" fontId="8" fillId="3" borderId="21" xfId="1" applyNumberFormat="1" applyFont="1" applyFill="1" applyBorder="1" applyAlignment="1" applyProtection="1">
      <alignment horizontal="right" vertical="center"/>
      <protection hidden="1"/>
    </xf>
    <xf numFmtId="0" fontId="18" fillId="0" borderId="26" xfId="2" applyNumberFormat="1" applyFont="1" applyBorder="1" applyAlignment="1" applyProtection="1">
      <alignment horizontal="center" vertical="center" textRotation="90" wrapText="1"/>
      <protection hidden="1"/>
    </xf>
    <xf numFmtId="0" fontId="18" fillId="0" borderId="27" xfId="2" applyNumberFormat="1" applyFont="1" applyBorder="1" applyAlignment="1" applyProtection="1">
      <alignment horizontal="center" vertical="center" textRotation="90" wrapText="1"/>
      <protection hidden="1"/>
    </xf>
    <xf numFmtId="0" fontId="18" fillId="0" borderId="28" xfId="2" applyNumberFormat="1" applyFont="1" applyBorder="1" applyAlignment="1" applyProtection="1">
      <alignment horizontal="center" vertical="center" textRotation="90" wrapText="1"/>
      <protection hidden="1"/>
    </xf>
    <xf numFmtId="0" fontId="5" fillId="3" borderId="18" xfId="2" applyNumberFormat="1" applyFont="1" applyFill="1" applyBorder="1" applyAlignment="1" applyProtection="1">
      <alignment horizontal="left" vertical="center" wrapText="1"/>
      <protection hidden="1"/>
    </xf>
    <xf numFmtId="0" fontId="5" fillId="3" borderId="16" xfId="2" applyNumberFormat="1" applyFont="1" applyFill="1" applyBorder="1" applyAlignment="1" applyProtection="1">
      <alignment horizontal="left" vertical="center"/>
      <protection hidden="1"/>
    </xf>
    <xf numFmtId="0" fontId="5" fillId="3" borderId="17" xfId="2" applyNumberFormat="1" applyFont="1" applyFill="1" applyBorder="1" applyAlignment="1" applyProtection="1">
      <alignment horizontal="left" vertical="center"/>
      <protection hidden="1"/>
    </xf>
    <xf numFmtId="0" fontId="3" fillId="3" borderId="77" xfId="1" applyNumberFormat="1" applyFont="1" applyFill="1" applyBorder="1" applyAlignment="1" applyProtection="1">
      <alignment horizontal="right" vertical="center"/>
    </xf>
    <xf numFmtId="0" fontId="5" fillId="0" borderId="30" xfId="2" applyNumberFormat="1" applyFont="1" applyBorder="1" applyAlignment="1" applyProtection="1">
      <alignment horizontal="left" vertical="center"/>
      <protection hidden="1"/>
    </xf>
    <xf numFmtId="0" fontId="5" fillId="0" borderId="0" xfId="1" applyNumberFormat="1" applyFont="1" applyFill="1" applyBorder="1" applyAlignment="1" applyProtection="1">
      <alignment horizontal="right" vertical="center"/>
      <protection hidden="1"/>
    </xf>
    <xf numFmtId="0" fontId="5" fillId="0" borderId="47" xfId="1" applyNumberFormat="1" applyFont="1" applyFill="1" applyBorder="1" applyAlignment="1" applyProtection="1">
      <alignment horizontal="right" vertical="center"/>
      <protection hidden="1"/>
    </xf>
    <xf numFmtId="0" fontId="7" fillId="0" borderId="19" xfId="2" applyNumberFormat="1" applyFont="1" applyBorder="1" applyAlignment="1" applyProtection="1">
      <alignment horizontal="left" vertical="center" wrapText="1"/>
      <protection hidden="1"/>
    </xf>
    <xf numFmtId="0" fontId="7" fillId="0" borderId="20" xfId="2" applyNumberFormat="1" applyFont="1" applyBorder="1" applyAlignment="1" applyProtection="1">
      <alignment horizontal="left" vertical="center"/>
      <protection hidden="1"/>
    </xf>
    <xf numFmtId="0" fontId="7" fillId="0" borderId="57" xfId="2" applyNumberFormat="1" applyFont="1" applyBorder="1" applyAlignment="1" applyProtection="1">
      <alignment horizontal="left" vertical="center"/>
      <protection hidden="1"/>
    </xf>
    <xf numFmtId="0" fontId="7" fillId="0" borderId="45" xfId="1" applyNumberFormat="1" applyFont="1" applyFill="1" applyBorder="1" applyAlignment="1" applyProtection="1">
      <alignment horizontal="right" vertical="center"/>
      <protection hidden="1"/>
    </xf>
    <xf numFmtId="0" fontId="8" fillId="0" borderId="45" xfId="1" applyNumberFormat="1" applyFont="1" applyFill="1" applyBorder="1" applyAlignment="1" applyProtection="1">
      <alignment horizontal="right" vertical="center"/>
      <protection hidden="1"/>
    </xf>
    <xf numFmtId="0" fontId="8" fillId="0" borderId="76" xfId="1" applyNumberFormat="1" applyFont="1" applyFill="1" applyBorder="1" applyAlignment="1" applyProtection="1">
      <alignment horizontal="right" vertical="center"/>
      <protection hidden="1"/>
    </xf>
    <xf numFmtId="0" fontId="14" fillId="0" borderId="26" xfId="2" applyNumberFormat="1" applyFont="1" applyBorder="1" applyAlignment="1" applyProtection="1">
      <alignment horizontal="center" vertical="center" textRotation="90" wrapText="1"/>
      <protection hidden="1"/>
    </xf>
    <xf numFmtId="0" fontId="14" fillId="0" borderId="27" xfId="2" applyNumberFormat="1" applyFont="1" applyBorder="1" applyAlignment="1" applyProtection="1">
      <alignment horizontal="center" vertical="center" textRotation="90" wrapText="1"/>
      <protection hidden="1"/>
    </xf>
    <xf numFmtId="0" fontId="14" fillId="0" borderId="37" xfId="2" applyNumberFormat="1" applyFont="1" applyBorder="1" applyAlignment="1" applyProtection="1">
      <alignment horizontal="center" vertical="center" textRotation="90" wrapText="1"/>
      <protection hidden="1"/>
    </xf>
    <xf numFmtId="0" fontId="5" fillId="0" borderId="18" xfId="2" applyNumberFormat="1" applyFont="1" applyBorder="1" applyAlignment="1" applyProtection="1">
      <alignment horizontal="left" vertical="center"/>
      <protection hidden="1"/>
    </xf>
    <xf numFmtId="0" fontId="5" fillId="0" borderId="16" xfId="2" applyNumberFormat="1" applyFont="1" applyBorder="1" applyAlignment="1" applyProtection="1">
      <alignment horizontal="left" vertical="center"/>
      <protection hidden="1"/>
    </xf>
    <xf numFmtId="0" fontId="5" fillId="0" borderId="46" xfId="2" applyNumberFormat="1" applyFont="1" applyBorder="1" applyAlignment="1" applyProtection="1">
      <alignment horizontal="left" vertical="center"/>
      <protection hidden="1"/>
    </xf>
    <xf numFmtId="0" fontId="6" fillId="0" borderId="47" xfId="1" applyNumberFormat="1" applyFont="1" applyFill="1" applyBorder="1" applyAlignment="1" applyProtection="1">
      <alignment horizontal="right" vertical="center"/>
      <protection hidden="1"/>
    </xf>
    <xf numFmtId="0" fontId="6" fillId="0" borderId="16" xfId="1" applyNumberFormat="1" applyFont="1" applyFill="1" applyBorder="1" applyAlignment="1" applyProtection="1">
      <alignment horizontal="right" vertical="center"/>
      <protection hidden="1"/>
    </xf>
    <xf numFmtId="0" fontId="6" fillId="0" borderId="46" xfId="1" applyNumberFormat="1" applyFont="1" applyFill="1" applyBorder="1" applyAlignment="1" applyProtection="1">
      <alignment horizontal="right" vertical="center"/>
      <protection hidden="1"/>
    </xf>
    <xf numFmtId="0" fontId="5" fillId="3" borderId="47" xfId="2" applyNumberFormat="1" applyFont="1" applyFill="1" applyBorder="1" applyAlignment="1" applyProtection="1">
      <alignment horizontal="left" vertical="center"/>
      <protection hidden="1"/>
    </xf>
    <xf numFmtId="0" fontId="6" fillId="3" borderId="47" xfId="1" applyNumberFormat="1" applyFont="1" applyFill="1" applyBorder="1" applyAlignment="1" applyProtection="1">
      <alignment horizontal="right" vertical="center"/>
      <protection hidden="1"/>
    </xf>
    <xf numFmtId="0" fontId="8" fillId="3" borderId="76" xfId="1" applyNumberFormat="1" applyFont="1" applyFill="1" applyBorder="1" applyAlignment="1" applyProtection="1">
      <alignment horizontal="right" vertical="center"/>
      <protection hidden="1"/>
    </xf>
    <xf numFmtId="0" fontId="7" fillId="4" borderId="0" xfId="1" applyNumberFormat="1" applyFont="1" applyFill="1" applyBorder="1" applyAlignment="1" applyProtection="1">
      <alignment horizontal="center" vertical="center"/>
      <protection hidden="1"/>
    </xf>
    <xf numFmtId="0" fontId="6" fillId="0" borderId="65" xfId="2" applyNumberFormat="1" applyFont="1" applyBorder="1" applyAlignment="1" applyProtection="1">
      <alignment horizontal="left" vertical="center" wrapText="1"/>
      <protection hidden="1"/>
    </xf>
    <xf numFmtId="0" fontId="6" fillId="0" borderId="66" xfId="2" applyNumberFormat="1" applyFont="1" applyBorder="1" applyAlignment="1" applyProtection="1">
      <alignment horizontal="left" vertical="center" wrapText="1"/>
      <protection hidden="1"/>
    </xf>
    <xf numFmtId="0" fontId="7" fillId="3" borderId="18" xfId="2" applyNumberFormat="1" applyFont="1" applyFill="1" applyBorder="1" applyAlignment="1" applyProtection="1">
      <alignment horizontal="left" vertical="center" wrapText="1"/>
      <protection hidden="1"/>
    </xf>
    <xf numFmtId="0" fontId="7" fillId="3" borderId="16" xfId="2" applyNumberFormat="1" applyFont="1" applyFill="1" applyBorder="1" applyAlignment="1" applyProtection="1">
      <alignment horizontal="left" vertical="center" wrapText="1"/>
      <protection hidden="1"/>
    </xf>
    <xf numFmtId="0" fontId="7" fillId="3" borderId="17" xfId="2" applyNumberFormat="1" applyFont="1" applyFill="1" applyBorder="1" applyAlignment="1" applyProtection="1">
      <alignment horizontal="left" vertical="center"/>
      <protection hidden="1"/>
    </xf>
    <xf numFmtId="0" fontId="4" fillId="3" borderId="77" xfId="1" applyNumberFormat="1" applyFont="1" applyFill="1" applyBorder="1" applyAlignment="1" applyProtection="1">
      <alignment horizontal="right" vertical="center"/>
    </xf>
    <xf numFmtId="0" fontId="8" fillId="3" borderId="47" xfId="1" applyNumberFormat="1" applyFont="1" applyFill="1" applyBorder="1" applyAlignment="1" applyProtection="1">
      <alignment horizontal="right" vertical="center"/>
      <protection hidden="1"/>
    </xf>
    <xf numFmtId="0" fontId="8" fillId="3" borderId="77" xfId="1" applyNumberFormat="1" applyFont="1" applyFill="1" applyBorder="1" applyAlignment="1" applyProtection="1">
      <alignment horizontal="right" vertical="center"/>
    </xf>
    <xf numFmtId="0" fontId="7" fillId="0" borderId="30" xfId="2" applyNumberFormat="1" applyFont="1" applyBorder="1" applyAlignment="1" applyProtection="1">
      <alignment horizontal="left" vertical="center" wrapText="1"/>
      <protection hidden="1"/>
    </xf>
    <xf numFmtId="0" fontId="7" fillId="0" borderId="0" xfId="2" applyNumberFormat="1" applyFont="1" applyAlignment="1" applyProtection="1">
      <alignment horizontal="left" vertical="center" wrapText="1"/>
      <protection hidden="1"/>
    </xf>
    <xf numFmtId="0" fontId="7" fillId="0" borderId="31" xfId="2" applyNumberFormat="1" applyFont="1" applyBorder="1" applyAlignment="1" applyProtection="1">
      <alignment horizontal="left" vertical="center"/>
      <protection hidden="1"/>
    </xf>
    <xf numFmtId="0" fontId="8" fillId="0" borderId="0" xfId="1" applyNumberFormat="1" applyFont="1" applyFill="1" applyBorder="1" applyAlignment="1" applyProtection="1">
      <alignment horizontal="right" vertical="center"/>
      <protection hidden="1"/>
    </xf>
    <xf numFmtId="0" fontId="8" fillId="0" borderId="47" xfId="1" applyNumberFormat="1" applyFont="1" applyFill="1" applyBorder="1" applyAlignment="1" applyProtection="1">
      <alignment horizontal="right" vertical="center"/>
      <protection hidden="1"/>
    </xf>
    <xf numFmtId="0" fontId="7" fillId="0" borderId="7" xfId="1" applyNumberFormat="1" applyFont="1" applyFill="1" applyBorder="1" applyAlignment="1" applyProtection="1">
      <alignment horizontal="right" vertical="center"/>
      <protection hidden="1"/>
    </xf>
    <xf numFmtId="0" fontId="7" fillId="0" borderId="9" xfId="1" applyNumberFormat="1" applyFont="1" applyFill="1" applyBorder="1" applyAlignment="1" applyProtection="1">
      <alignment horizontal="right" vertical="center"/>
      <protection hidden="1"/>
    </xf>
    <xf numFmtId="0" fontId="7" fillId="0" borderId="58" xfId="1" applyNumberFormat="1" applyFont="1" applyFill="1" applyBorder="1" applyAlignment="1" applyProtection="1">
      <alignment horizontal="right" vertical="center"/>
      <protection hidden="1"/>
    </xf>
    <xf numFmtId="0" fontId="6" fillId="0" borderId="53" xfId="2" applyNumberFormat="1" applyFont="1" applyBorder="1" applyAlignment="1" applyProtection="1">
      <alignment horizontal="left" vertical="center" wrapText="1"/>
      <protection hidden="1"/>
    </xf>
    <xf numFmtId="0" fontId="6" fillId="0" borderId="0" xfId="2" applyNumberFormat="1" applyFont="1" applyAlignment="1" applyProtection="1">
      <alignment horizontal="left" vertical="center"/>
      <protection hidden="1"/>
    </xf>
    <xf numFmtId="0" fontId="6" fillId="0" borderId="47" xfId="2" applyNumberFormat="1" applyFont="1" applyBorder="1" applyAlignment="1" applyProtection="1">
      <alignment horizontal="left" vertical="center"/>
      <protection hidden="1"/>
    </xf>
    <xf numFmtId="0" fontId="5" fillId="0" borderId="7" xfId="1" applyNumberFormat="1" applyFont="1" applyFill="1" applyBorder="1" applyAlignment="1" applyProtection="1">
      <alignment horizontal="right" vertical="center"/>
      <protection hidden="1"/>
    </xf>
    <xf numFmtId="0" fontId="5" fillId="0" borderId="9" xfId="1" applyNumberFormat="1" applyFont="1" applyFill="1" applyBorder="1" applyAlignment="1" applyProtection="1">
      <alignment horizontal="right" vertical="center"/>
      <protection hidden="1"/>
    </xf>
    <xf numFmtId="0" fontId="5" fillId="0" borderId="58" xfId="1" applyNumberFormat="1" applyFont="1" applyFill="1" applyBorder="1" applyAlignment="1" applyProtection="1">
      <alignment horizontal="right" vertical="center"/>
      <protection hidden="1"/>
    </xf>
    <xf numFmtId="0" fontId="5" fillId="3" borderId="63" xfId="2" applyNumberFormat="1" applyFont="1" applyFill="1" applyBorder="1" applyAlignment="1" applyProtection="1">
      <alignment horizontal="left" vertical="center" wrapText="1"/>
      <protection hidden="1"/>
    </xf>
    <xf numFmtId="0" fontId="5" fillId="3" borderId="64" xfId="2" applyNumberFormat="1" applyFont="1" applyFill="1" applyBorder="1" applyAlignment="1" applyProtection="1">
      <alignment horizontal="left" vertical="center" wrapText="1"/>
      <protection hidden="1"/>
    </xf>
    <xf numFmtId="0" fontId="5" fillId="3" borderId="65" xfId="2" applyNumberFormat="1" applyFont="1" applyFill="1" applyBorder="1" applyAlignment="1" applyProtection="1">
      <alignment horizontal="left" vertical="center" wrapText="1"/>
      <protection hidden="1"/>
    </xf>
    <xf numFmtId="0" fontId="5" fillId="3" borderId="66" xfId="2" applyNumberFormat="1" applyFont="1" applyFill="1" applyBorder="1" applyAlignment="1" applyProtection="1">
      <alignment horizontal="left" vertical="center" wrapText="1"/>
      <protection hidden="1"/>
    </xf>
    <xf numFmtId="0" fontId="6" fillId="3" borderId="40" xfId="1" applyNumberFormat="1" applyFont="1" applyFill="1" applyBorder="1" applyAlignment="1" applyProtection="1">
      <alignment horizontal="right" vertical="center"/>
      <protection hidden="1"/>
    </xf>
    <xf numFmtId="0" fontId="6" fillId="3" borderId="41" xfId="1" applyNumberFormat="1" applyFont="1" applyFill="1" applyBorder="1" applyAlignment="1" applyProtection="1">
      <alignment horizontal="right" vertical="center"/>
      <protection hidden="1"/>
    </xf>
    <xf numFmtId="0" fontId="6" fillId="3" borderId="68" xfId="1" applyNumberFormat="1" applyFont="1" applyFill="1" applyBorder="1" applyAlignment="1" applyProtection="1">
      <alignment horizontal="right" vertical="center"/>
      <protection hidden="1"/>
    </xf>
    <xf numFmtId="0" fontId="8" fillId="3" borderId="65" xfId="2" applyNumberFormat="1" applyFont="1" applyFill="1" applyBorder="1" applyAlignment="1" applyProtection="1">
      <alignment horizontal="left" vertical="center" wrapText="1"/>
      <protection hidden="1"/>
    </xf>
    <xf numFmtId="0" fontId="8" fillId="3" borderId="67" xfId="2" applyNumberFormat="1" applyFont="1" applyFill="1" applyBorder="1" applyAlignment="1" applyProtection="1">
      <alignment horizontal="left" vertical="center" wrapText="1"/>
      <protection hidden="1"/>
    </xf>
    <xf numFmtId="0" fontId="8" fillId="3" borderId="66" xfId="2" applyNumberFormat="1" applyFont="1" applyFill="1" applyBorder="1" applyAlignment="1" applyProtection="1">
      <alignment horizontal="left" vertical="center" wrapText="1"/>
      <protection hidden="1"/>
    </xf>
    <xf numFmtId="0" fontId="6" fillId="0" borderId="7" xfId="1" applyNumberFormat="1" applyFont="1" applyFill="1" applyBorder="1" applyAlignment="1" applyProtection="1">
      <alignment horizontal="right" vertical="center"/>
      <protection hidden="1"/>
    </xf>
    <xf numFmtId="0" fontId="6" fillId="0" borderId="9" xfId="1" applyNumberFormat="1" applyFont="1" applyFill="1" applyBorder="1" applyAlignment="1" applyProtection="1">
      <alignment horizontal="right" vertical="center"/>
      <protection hidden="1"/>
    </xf>
    <xf numFmtId="0" fontId="5" fillId="3" borderId="0" xfId="2" applyNumberFormat="1" applyFont="1" applyFill="1" applyAlignment="1" applyProtection="1">
      <alignment horizontal="left" vertical="center" wrapText="1"/>
      <protection hidden="1"/>
    </xf>
    <xf numFmtId="0" fontId="5" fillId="3" borderId="7" xfId="1" applyNumberFormat="1" applyFont="1" applyFill="1" applyBorder="1" applyAlignment="1" applyProtection="1">
      <alignment horizontal="right" vertical="center"/>
      <protection hidden="1"/>
    </xf>
    <xf numFmtId="0" fontId="5" fillId="3" borderId="9" xfId="1" applyNumberFormat="1" applyFont="1" applyFill="1" applyBorder="1" applyAlignment="1" applyProtection="1">
      <alignment horizontal="right" vertical="center"/>
      <protection hidden="1"/>
    </xf>
    <xf numFmtId="0" fontId="5" fillId="3" borderId="58" xfId="1" applyNumberFormat="1" applyFont="1" applyFill="1" applyBorder="1" applyAlignment="1" applyProtection="1">
      <alignment horizontal="right" vertical="center"/>
      <protection hidden="1"/>
    </xf>
    <xf numFmtId="0" fontId="6" fillId="3" borderId="53" xfId="2" applyNumberFormat="1" applyFont="1" applyFill="1" applyBorder="1" applyAlignment="1" applyProtection="1">
      <alignment horizontal="left" vertical="center" wrapText="1"/>
      <protection hidden="1"/>
    </xf>
    <xf numFmtId="0" fontId="6" fillId="3" borderId="0" xfId="2" applyNumberFormat="1" applyFont="1" applyFill="1" applyAlignment="1" applyProtection="1">
      <alignment horizontal="left" vertical="center" wrapText="1"/>
      <protection hidden="1"/>
    </xf>
    <xf numFmtId="0" fontId="6" fillId="3" borderId="47" xfId="2" applyNumberFormat="1" applyFont="1" applyFill="1" applyBorder="1" applyAlignment="1" applyProtection="1">
      <alignment horizontal="left" vertical="center" wrapText="1"/>
      <protection hidden="1"/>
    </xf>
    <xf numFmtId="0" fontId="6" fillId="3" borderId="7" xfId="1" applyNumberFormat="1" applyFont="1" applyFill="1" applyBorder="1" applyAlignment="1" applyProtection="1">
      <alignment horizontal="right" vertical="center"/>
      <protection hidden="1"/>
    </xf>
    <xf numFmtId="0" fontId="6" fillId="3" borderId="9" xfId="1" applyNumberFormat="1" applyFont="1" applyFill="1" applyBorder="1" applyAlignment="1" applyProtection="1">
      <alignment horizontal="right" vertical="center"/>
      <protection hidden="1"/>
    </xf>
    <xf numFmtId="0" fontId="6" fillId="3" borderId="0" xfId="2" applyNumberFormat="1" applyFont="1" applyFill="1" applyAlignment="1" applyProtection="1">
      <alignment horizontal="left" vertical="center"/>
      <protection hidden="1"/>
    </xf>
    <xf numFmtId="0" fontId="6" fillId="3" borderId="47" xfId="2" applyNumberFormat="1" applyFont="1" applyFill="1" applyBorder="1" applyAlignment="1" applyProtection="1">
      <alignment horizontal="left" vertical="center"/>
      <protection hidden="1"/>
    </xf>
    <xf numFmtId="0" fontId="7" fillId="0" borderId="45" xfId="2" applyNumberFormat="1" applyFont="1" applyBorder="1" applyAlignment="1" applyProtection="1">
      <alignment horizontal="left" vertical="center" wrapText="1"/>
      <protection hidden="1"/>
    </xf>
    <xf numFmtId="0" fontId="7" fillId="0" borderId="44" xfId="1" applyNumberFormat="1" applyFont="1" applyFill="1" applyBorder="1" applyAlignment="1" applyProtection="1">
      <alignment horizontal="right" vertical="center"/>
      <protection hidden="1"/>
    </xf>
    <xf numFmtId="0" fontId="7" fillId="0" borderId="43" xfId="1" applyNumberFormat="1" applyFont="1" applyFill="1" applyBorder="1" applyAlignment="1" applyProtection="1">
      <alignment horizontal="right" vertical="center"/>
      <protection hidden="1"/>
    </xf>
    <xf numFmtId="0" fontId="7" fillId="0" borderId="59" xfId="1" applyNumberFormat="1" applyFont="1" applyFill="1" applyBorder="1" applyAlignment="1" applyProtection="1">
      <alignment horizontal="right" vertical="center"/>
      <protection hidden="1"/>
    </xf>
    <xf numFmtId="0" fontId="6" fillId="0" borderId="0" xfId="2" applyNumberFormat="1" applyFont="1" applyAlignment="1" applyProtection="1">
      <alignment horizontal="left" vertical="center" wrapText="1"/>
      <protection hidden="1"/>
    </xf>
    <xf numFmtId="0" fontId="6" fillId="0" borderId="47" xfId="2" applyNumberFormat="1" applyFont="1" applyBorder="1" applyAlignment="1" applyProtection="1">
      <alignment horizontal="left" vertical="center" wrapText="1"/>
      <protection hidden="1"/>
    </xf>
    <xf numFmtId="0" fontId="7" fillId="3" borderId="0" xfId="2" applyNumberFormat="1" applyFont="1" applyFill="1" applyAlignment="1" applyProtection="1">
      <alignment horizontal="left" vertical="center" wrapText="1"/>
      <protection hidden="1"/>
    </xf>
    <xf numFmtId="0" fontId="7" fillId="3" borderId="7" xfId="1" applyNumberFormat="1" applyFont="1" applyFill="1" applyBorder="1" applyAlignment="1" applyProtection="1">
      <alignment horizontal="right" vertical="center"/>
      <protection hidden="1"/>
    </xf>
    <xf numFmtId="0" fontId="7" fillId="3" borderId="9" xfId="1" applyNumberFormat="1" applyFont="1" applyFill="1" applyBorder="1" applyAlignment="1" applyProtection="1">
      <alignment horizontal="right" vertical="center"/>
      <protection hidden="1"/>
    </xf>
    <xf numFmtId="0" fontId="7" fillId="3" borderId="58" xfId="1" applyNumberFormat="1" applyFont="1" applyFill="1" applyBorder="1" applyAlignment="1" applyProtection="1">
      <alignment horizontal="right" vertical="center"/>
      <protection hidden="1"/>
    </xf>
    <xf numFmtId="0" fontId="6" fillId="3" borderId="92" xfId="2" applyNumberFormat="1" applyFont="1" applyFill="1" applyBorder="1" applyAlignment="1" applyProtection="1">
      <alignment horizontal="left" vertical="center" wrapText="1"/>
      <protection hidden="1"/>
    </xf>
    <xf numFmtId="0" fontId="6" fillId="3" borderId="80" xfId="2" applyNumberFormat="1" applyFont="1" applyFill="1" applyBorder="1" applyAlignment="1" applyProtection="1">
      <alignment horizontal="left" vertical="center" wrapText="1"/>
      <protection hidden="1"/>
    </xf>
    <xf numFmtId="0" fontId="6" fillId="3" borderId="92" xfId="1" applyNumberFormat="1" applyFont="1" applyFill="1" applyBorder="1" applyAlignment="1" applyProtection="1">
      <alignment horizontal="center" vertical="center"/>
      <protection hidden="1"/>
    </xf>
    <xf numFmtId="0" fontId="6" fillId="3" borderId="76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NumberFormat="1" applyFont="1" applyAlignment="1" applyProtection="1">
      <alignment horizontal="left" vertical="center" wrapText="1"/>
      <protection hidden="1"/>
    </xf>
    <xf numFmtId="0" fontId="19" fillId="0" borderId="11" xfId="2" applyNumberFormat="1" applyFont="1" applyBorder="1" applyAlignment="1" applyProtection="1">
      <alignment horizontal="center" vertical="center" textRotation="90" wrapText="1"/>
      <protection hidden="1"/>
    </xf>
    <xf numFmtId="0" fontId="19" fillId="0" borderId="38" xfId="2" applyNumberFormat="1" applyFont="1" applyBorder="1" applyAlignment="1" applyProtection="1">
      <alignment horizontal="center" vertical="center" textRotation="90" wrapText="1"/>
      <protection hidden="1"/>
    </xf>
    <xf numFmtId="0" fontId="19" fillId="0" borderId="14" xfId="2" applyNumberFormat="1" applyFont="1" applyBorder="1" applyAlignment="1" applyProtection="1">
      <alignment horizontal="center" vertical="center" textRotation="90" wrapText="1"/>
      <protection hidden="1"/>
    </xf>
    <xf numFmtId="0" fontId="19" fillId="0" borderId="33" xfId="2" applyNumberFormat="1" applyFont="1" applyBorder="1" applyAlignment="1" applyProtection="1">
      <alignment horizontal="center" vertical="center" textRotation="90" wrapText="1"/>
      <protection hidden="1"/>
    </xf>
    <xf numFmtId="0" fontId="5" fillId="3" borderId="71" xfId="1" applyNumberFormat="1" applyFont="1" applyFill="1" applyBorder="1" applyAlignment="1" applyProtection="1">
      <alignment horizontal="right" vertical="center"/>
      <protection hidden="1"/>
    </xf>
    <xf numFmtId="0" fontId="5" fillId="3" borderId="60" xfId="1" applyNumberFormat="1" applyFont="1" applyFill="1" applyBorder="1" applyAlignment="1" applyProtection="1">
      <alignment horizontal="right" vertical="center"/>
      <protection hidden="1"/>
    </xf>
    <xf numFmtId="0" fontId="5" fillId="3" borderId="54" xfId="1" applyNumberFormat="1" applyFont="1" applyFill="1" applyBorder="1" applyAlignment="1" applyProtection="1">
      <alignment horizontal="right" vertical="center"/>
      <protection hidden="1"/>
    </xf>
    <xf numFmtId="0" fontId="8" fillId="3" borderId="7" xfId="1" applyNumberFormat="1" applyFont="1" applyFill="1" applyBorder="1" applyAlignment="1" applyProtection="1">
      <alignment horizontal="right" vertical="center"/>
      <protection hidden="1"/>
    </xf>
    <xf numFmtId="0" fontId="8" fillId="3" borderId="9" xfId="1" applyNumberFormat="1" applyFont="1" applyFill="1" applyBorder="1" applyAlignment="1" applyProtection="1">
      <alignment horizontal="right" vertical="center"/>
      <protection hidden="1"/>
    </xf>
    <xf numFmtId="0" fontId="6" fillId="0" borderId="30" xfId="1" applyNumberFormat="1" applyFont="1" applyFill="1" applyBorder="1" applyAlignment="1" applyProtection="1">
      <alignment horizontal="center" vertical="center"/>
      <protection hidden="1"/>
    </xf>
    <xf numFmtId="0" fontId="6" fillId="0" borderId="0" xfId="1" applyNumberFormat="1" applyFont="1" applyFill="1" applyBorder="1" applyAlignment="1" applyProtection="1">
      <alignment horizontal="center" vertical="center"/>
      <protection hidden="1"/>
    </xf>
    <xf numFmtId="0" fontId="6" fillId="0" borderId="31" xfId="1" applyNumberFormat="1" applyFont="1" applyFill="1" applyBorder="1" applyAlignment="1" applyProtection="1">
      <alignment horizontal="center" vertical="center"/>
      <protection hidden="1"/>
    </xf>
    <xf numFmtId="0" fontId="8" fillId="3" borderId="0" xfId="2" applyNumberFormat="1" applyFont="1" applyFill="1" applyAlignment="1" applyProtection="1">
      <alignment horizontal="left" vertical="center" wrapText="1"/>
      <protection hidden="1"/>
    </xf>
    <xf numFmtId="0" fontId="8" fillId="3" borderId="47" xfId="2" applyNumberFormat="1" applyFont="1" applyFill="1" applyBorder="1" applyAlignment="1" applyProtection="1">
      <alignment horizontal="left" vertical="center" wrapText="1"/>
      <protection hidden="1"/>
    </xf>
    <xf numFmtId="0" fontId="8" fillId="3" borderId="30" xfId="1" applyNumberFormat="1" applyFont="1" applyFill="1" applyBorder="1" applyAlignment="1" applyProtection="1">
      <alignment horizontal="center" vertical="center"/>
      <protection hidden="1"/>
    </xf>
    <xf numFmtId="0" fontId="8" fillId="3" borderId="0" xfId="1" applyNumberFormat="1" applyFont="1" applyFill="1" applyBorder="1" applyAlignment="1" applyProtection="1">
      <alignment horizontal="center" vertical="center"/>
      <protection hidden="1"/>
    </xf>
    <xf numFmtId="0" fontId="8" fillId="3" borderId="47" xfId="1" applyNumberFormat="1" applyFont="1" applyFill="1" applyBorder="1" applyAlignment="1" applyProtection="1">
      <alignment horizontal="center" vertical="center"/>
      <protection hidden="1"/>
    </xf>
    <xf numFmtId="0" fontId="8" fillId="3" borderId="31" xfId="1" applyNumberFormat="1" applyFont="1" applyFill="1" applyBorder="1" applyAlignment="1" applyProtection="1">
      <alignment horizontal="center" vertical="center"/>
      <protection hidden="1"/>
    </xf>
    <xf numFmtId="0" fontId="22" fillId="3" borderId="92" xfId="0" applyNumberFormat="1" applyFont="1" applyFill="1" applyBorder="1" applyAlignment="1">
      <alignment horizontal="center"/>
    </xf>
    <xf numFmtId="0" fontId="22" fillId="3" borderId="76" xfId="0" applyNumberFormat="1" applyFont="1" applyFill="1" applyBorder="1" applyAlignment="1">
      <alignment horizontal="center"/>
    </xf>
    <xf numFmtId="0" fontId="8" fillId="0" borderId="69" xfId="2" applyNumberFormat="1" applyFont="1" applyBorder="1" applyAlignment="1" applyProtection="1">
      <alignment horizontal="left" vertical="center" wrapText="1"/>
      <protection hidden="1"/>
    </xf>
    <xf numFmtId="0" fontId="8" fillId="0" borderId="56" xfId="2" applyNumberFormat="1" applyFont="1" applyBorder="1" applyAlignment="1" applyProtection="1">
      <alignment horizontal="left" vertical="center" wrapText="1"/>
      <protection hidden="1"/>
    </xf>
    <xf numFmtId="0" fontId="7" fillId="0" borderId="72" xfId="1" applyNumberFormat="1" applyFont="1" applyFill="1" applyBorder="1" applyAlignment="1" applyProtection="1">
      <alignment horizontal="right" vertical="center"/>
      <protection hidden="1"/>
    </xf>
    <xf numFmtId="0" fontId="7" fillId="0" borderId="36" xfId="1" applyNumberFormat="1" applyFont="1" applyFill="1" applyBorder="1" applyAlignment="1" applyProtection="1">
      <alignment horizontal="right" vertical="center"/>
      <protection hidden="1"/>
    </xf>
    <xf numFmtId="0" fontId="7" fillId="0" borderId="62" xfId="1" applyNumberFormat="1" applyFont="1" applyFill="1" applyBorder="1" applyAlignment="1" applyProtection="1">
      <alignment horizontal="right" vertical="center"/>
      <protection hidden="1"/>
    </xf>
    <xf numFmtId="0" fontId="6" fillId="3" borderId="7" xfId="2" applyNumberFormat="1" applyFont="1" applyFill="1" applyBorder="1" applyAlignment="1" applyProtection="1">
      <alignment horizontal="left" vertical="center" wrapText="1"/>
      <protection hidden="1"/>
    </xf>
    <xf numFmtId="0" fontId="6" fillId="3" borderId="9" xfId="2" applyNumberFormat="1" applyFont="1" applyFill="1" applyBorder="1" applyAlignment="1" applyProtection="1">
      <alignment horizontal="left" vertical="center" wrapText="1"/>
      <protection hidden="1"/>
    </xf>
    <xf numFmtId="0" fontId="6" fillId="3" borderId="58" xfId="2" applyNumberFormat="1" applyFont="1" applyFill="1" applyBorder="1" applyAlignment="1" applyProtection="1">
      <alignment horizontal="left" vertical="center" wrapText="1"/>
      <protection hidden="1"/>
    </xf>
    <xf numFmtId="0" fontId="6" fillId="3" borderId="34" xfId="1" applyNumberFormat="1" applyFont="1" applyFill="1" applyBorder="1" applyAlignment="1" applyProtection="1">
      <alignment horizontal="center" vertical="center"/>
      <protection hidden="1"/>
    </xf>
    <xf numFmtId="0" fontId="6" fillId="3" borderId="9" xfId="1" applyNumberFormat="1" applyFont="1" applyFill="1" applyBorder="1" applyAlignment="1" applyProtection="1">
      <alignment horizontal="center" vertical="center"/>
      <protection hidden="1"/>
    </xf>
    <xf numFmtId="0" fontId="6" fillId="3" borderId="35" xfId="1" applyNumberFormat="1" applyFont="1" applyFill="1" applyBorder="1" applyAlignment="1" applyProtection="1">
      <alignment horizontal="center" vertical="center"/>
      <protection hidden="1"/>
    </xf>
    <xf numFmtId="0" fontId="7" fillId="3" borderId="10" xfId="2" applyFont="1" applyFill="1" applyBorder="1" applyAlignment="1" applyProtection="1">
      <alignment horizontal="left" vertical="center" wrapText="1"/>
      <protection hidden="1"/>
    </xf>
    <xf numFmtId="0" fontId="6" fillId="3" borderId="10" xfId="2" applyNumberFormat="1" applyFont="1" applyFill="1" applyBorder="1" applyAlignment="1" applyProtection="1">
      <alignment horizontal="left" vertical="center"/>
      <protection hidden="1"/>
    </xf>
    <xf numFmtId="0" fontId="6" fillId="3" borderId="24" xfId="2" applyNumberFormat="1" applyFont="1" applyFill="1" applyBorder="1" applyAlignment="1" applyProtection="1">
      <alignment horizontal="left" vertical="center"/>
      <protection hidden="1"/>
    </xf>
    <xf numFmtId="0" fontId="6" fillId="0" borderId="10" xfId="1" applyNumberFormat="1" applyFont="1" applyFill="1" applyBorder="1" applyAlignment="1" applyProtection="1">
      <alignment horizontal="right" vertical="center"/>
      <protection hidden="1"/>
    </xf>
    <xf numFmtId="0" fontId="8" fillId="0" borderId="24" xfId="1" applyNumberFormat="1" applyFont="1" applyFill="1" applyBorder="1" applyAlignment="1" applyProtection="1">
      <alignment horizontal="right" vertical="center"/>
      <protection hidden="1"/>
    </xf>
    <xf numFmtId="0" fontId="8" fillId="3" borderId="24" xfId="2" applyNumberFormat="1" applyFont="1" applyFill="1" applyBorder="1" applyAlignment="1" applyProtection="1">
      <alignment horizontal="left" vertical="center" wrapText="1"/>
      <protection hidden="1"/>
    </xf>
    <xf numFmtId="0" fontId="8" fillId="3" borderId="24" xfId="2" applyNumberFormat="1" applyFont="1" applyFill="1" applyBorder="1" applyAlignment="1" applyProtection="1">
      <alignment horizontal="left" vertical="center"/>
      <protection hidden="1"/>
    </xf>
    <xf numFmtId="0" fontId="8" fillId="0" borderId="65" xfId="2" applyNumberFormat="1" applyFont="1" applyBorder="1" applyAlignment="1" applyProtection="1">
      <alignment horizontal="center" vertical="center" textRotation="90"/>
      <protection hidden="1"/>
    </xf>
    <xf numFmtId="0" fontId="8" fillId="0" borderId="67" xfId="2" applyNumberFormat="1" applyFont="1" applyBorder="1" applyAlignment="1" applyProtection="1">
      <alignment horizontal="center" vertical="center" textRotation="90"/>
      <protection hidden="1"/>
    </xf>
    <xf numFmtId="0" fontId="8" fillId="0" borderId="66" xfId="2" applyNumberFormat="1" applyFont="1" applyBorder="1" applyAlignment="1" applyProtection="1">
      <alignment horizontal="center" vertical="center" textRotation="90"/>
      <protection hidden="1"/>
    </xf>
    <xf numFmtId="0" fontId="8" fillId="0" borderId="55" xfId="2" applyNumberFormat="1" applyFont="1" applyBorder="1" applyAlignment="1" applyProtection="1">
      <alignment horizontal="center" vertical="center" textRotation="90"/>
      <protection hidden="1"/>
    </xf>
    <xf numFmtId="0" fontId="8" fillId="0" borderId="52" xfId="2" applyNumberFormat="1" applyFont="1" applyBorder="1" applyAlignment="1" applyProtection="1">
      <alignment horizontal="center" vertical="center" textRotation="90"/>
      <protection hidden="1"/>
    </xf>
    <xf numFmtId="0" fontId="8" fillId="0" borderId="73" xfId="2" applyNumberFormat="1" applyFont="1" applyBorder="1" applyAlignment="1" applyProtection="1">
      <alignment horizontal="center" vertical="center" textRotation="90"/>
      <protection hidden="1"/>
    </xf>
    <xf numFmtId="0" fontId="6" fillId="3" borderId="30" xfId="1" applyNumberFormat="1" applyFont="1" applyFill="1" applyBorder="1" applyAlignment="1" applyProtection="1">
      <alignment horizontal="center" vertical="center"/>
      <protection hidden="1"/>
    </xf>
    <xf numFmtId="0" fontId="6" fillId="3" borderId="0" xfId="1" applyNumberFormat="1" applyFont="1" applyFill="1" applyBorder="1" applyAlignment="1" applyProtection="1">
      <alignment horizontal="center" vertical="center"/>
      <protection hidden="1"/>
    </xf>
    <xf numFmtId="0" fontId="6" fillId="3" borderId="31" xfId="1" applyNumberFormat="1" applyFont="1" applyFill="1" applyBorder="1" applyAlignment="1" applyProtection="1">
      <alignment horizontal="center" vertical="center"/>
      <protection hidden="1"/>
    </xf>
    <xf numFmtId="0" fontId="19" fillId="0" borderId="38" xfId="2" applyNumberFormat="1" applyFont="1" applyBorder="1" applyAlignment="1" applyProtection="1">
      <alignment horizontal="center" vertical="center" textRotation="90"/>
      <protection hidden="1"/>
    </xf>
    <xf numFmtId="0" fontId="19" fillId="0" borderId="11" xfId="2" applyNumberFormat="1" applyFont="1" applyBorder="1" applyAlignment="1" applyProtection="1">
      <alignment horizontal="center" vertical="center" textRotation="90"/>
      <protection hidden="1"/>
    </xf>
    <xf numFmtId="0" fontId="5" fillId="0" borderId="4" xfId="2" applyNumberFormat="1" applyFont="1" applyBorder="1" applyAlignment="1" applyProtection="1">
      <alignment horizontal="left" vertical="center" wrapText="1"/>
      <protection hidden="1"/>
    </xf>
    <xf numFmtId="0" fontId="8" fillId="0" borderId="49" xfId="1" applyNumberFormat="1" applyFont="1" applyFill="1" applyBorder="1" applyAlignment="1" applyProtection="1">
      <alignment horizontal="right" vertical="center"/>
      <protection hidden="1"/>
    </xf>
    <xf numFmtId="0" fontId="8" fillId="0" borderId="2" xfId="1" applyNumberFormat="1" applyFont="1" applyFill="1" applyBorder="1" applyAlignment="1" applyProtection="1">
      <alignment horizontal="right" vertical="center"/>
      <protection hidden="1"/>
    </xf>
    <xf numFmtId="0" fontId="8" fillId="0" borderId="61" xfId="1" applyNumberFormat="1" applyFont="1" applyFill="1" applyBorder="1" applyAlignment="1" applyProtection="1">
      <alignment horizontal="right" vertical="center"/>
      <protection hidden="1"/>
    </xf>
    <xf numFmtId="0" fontId="8" fillId="3" borderId="53" xfId="2" applyNumberFormat="1" applyFont="1" applyFill="1" applyBorder="1" applyAlignment="1" applyProtection="1">
      <alignment horizontal="left" vertical="center" wrapText="1"/>
      <protection hidden="1"/>
    </xf>
    <xf numFmtId="0" fontId="6" fillId="0" borderId="12" xfId="2" applyFont="1" applyBorder="1" applyAlignment="1" applyProtection="1">
      <alignment horizontal="center" vertical="center" wrapText="1"/>
      <protection hidden="1"/>
    </xf>
    <xf numFmtId="0" fontId="6" fillId="0" borderId="13" xfId="2" applyFont="1" applyBorder="1" applyAlignment="1" applyProtection="1">
      <alignment horizontal="center" vertical="center" wrapText="1"/>
      <protection hidden="1"/>
    </xf>
    <xf numFmtId="0" fontId="5" fillId="3" borderId="22" xfId="2" applyFont="1" applyFill="1" applyBorder="1" applyAlignment="1" applyProtection="1">
      <alignment horizontal="center" vertical="center" wrapText="1"/>
      <protection hidden="1"/>
    </xf>
    <xf numFmtId="0" fontId="5" fillId="3" borderId="12" xfId="2" applyFont="1" applyFill="1" applyBorder="1" applyAlignment="1" applyProtection="1">
      <alignment horizontal="center" vertical="center" wrapText="1"/>
      <protection hidden="1"/>
    </xf>
    <xf numFmtId="0" fontId="5" fillId="3" borderId="13" xfId="2" applyFont="1" applyFill="1" applyBorder="1" applyAlignment="1" applyProtection="1">
      <alignment horizontal="center" vertical="center" wrapText="1"/>
      <protection hidden="1"/>
    </xf>
    <xf numFmtId="3" fontId="5" fillId="0" borderId="22" xfId="2" applyNumberFormat="1" applyFont="1" applyBorder="1" applyAlignment="1" applyProtection="1">
      <alignment horizontal="center" vertical="center" wrapText="1"/>
      <protection hidden="1"/>
    </xf>
    <xf numFmtId="3" fontId="5" fillId="0" borderId="12" xfId="2" applyNumberFormat="1" applyFont="1" applyBorder="1" applyAlignment="1" applyProtection="1">
      <alignment horizontal="center" vertical="center" wrapText="1"/>
      <protection hidden="1"/>
    </xf>
    <xf numFmtId="3" fontId="5" fillId="0" borderId="13" xfId="2" applyNumberFormat="1" applyFont="1" applyBorder="1" applyAlignment="1" applyProtection="1">
      <alignment horizontal="center" vertical="center" wrapText="1"/>
      <protection hidden="1"/>
    </xf>
    <xf numFmtId="0" fontId="6" fillId="3" borderId="65" xfId="2" applyNumberFormat="1" applyFont="1" applyFill="1" applyBorder="1" applyAlignment="1" applyProtection="1">
      <alignment horizontal="right" vertical="center" wrapText="1"/>
      <protection hidden="1"/>
    </xf>
    <xf numFmtId="0" fontId="6" fillId="3" borderId="66" xfId="2" applyNumberFormat="1" applyFont="1" applyFill="1" applyBorder="1" applyAlignment="1" applyProtection="1">
      <alignment horizontal="right" vertical="center" wrapText="1"/>
      <protection hidden="1"/>
    </xf>
    <xf numFmtId="0" fontId="7" fillId="0" borderId="22" xfId="2" applyFont="1" applyBorder="1" applyAlignment="1" applyProtection="1">
      <alignment horizontal="center" vertical="center"/>
      <protection hidden="1"/>
    </xf>
    <xf numFmtId="0" fontId="7" fillId="0" borderId="13" xfId="2" applyFont="1" applyBorder="1" applyAlignment="1" applyProtection="1">
      <alignment horizontal="center" vertical="center"/>
      <protection hidden="1"/>
    </xf>
    <xf numFmtId="0" fontId="6" fillId="0" borderId="65" xfId="2" applyNumberFormat="1" applyFont="1" applyBorder="1" applyAlignment="1" applyProtection="1">
      <alignment horizontal="right" vertical="center"/>
      <protection hidden="1"/>
    </xf>
    <xf numFmtId="0" fontId="6" fillId="0" borderId="66" xfId="2" applyNumberFormat="1" applyFont="1" applyBorder="1" applyAlignment="1" applyProtection="1">
      <alignment horizontal="right" vertical="center"/>
      <protection hidden="1"/>
    </xf>
    <xf numFmtId="0" fontId="5" fillId="0" borderId="31" xfId="2" applyNumberFormat="1" applyFont="1" applyBorder="1" applyAlignment="1" applyProtection="1">
      <alignment horizontal="left" vertical="center" wrapText="1"/>
      <protection hidden="1"/>
    </xf>
    <xf numFmtId="0" fontId="7" fillId="3" borderId="30" xfId="2" applyNumberFormat="1" applyFont="1" applyFill="1" applyBorder="1" applyAlignment="1" applyProtection="1">
      <alignment horizontal="left" vertical="center" wrapText="1"/>
      <protection hidden="1"/>
    </xf>
    <xf numFmtId="0" fontId="7" fillId="0" borderId="0" xfId="2" applyNumberFormat="1" applyFont="1" applyAlignment="1" applyProtection="1">
      <alignment horizontal="left" vertical="center"/>
      <protection hidden="1"/>
    </xf>
    <xf numFmtId="0" fontId="7" fillId="0" borderId="65" xfId="2" applyNumberFormat="1" applyFont="1" applyBorder="1" applyAlignment="1" applyProtection="1">
      <alignment horizontal="left" vertical="center" wrapText="1"/>
      <protection hidden="1"/>
    </xf>
    <xf numFmtId="0" fontId="7" fillId="0" borderId="66" xfId="2" applyNumberFormat="1" applyFont="1" applyBorder="1" applyAlignment="1" applyProtection="1">
      <alignment horizontal="left" vertical="center"/>
      <protection hidden="1"/>
    </xf>
    <xf numFmtId="0" fontId="7" fillId="0" borderId="40" xfId="1" applyNumberFormat="1" applyFont="1" applyFill="1" applyBorder="1" applyAlignment="1" applyProtection="1">
      <alignment horizontal="right" vertical="center"/>
      <protection hidden="1"/>
    </xf>
    <xf numFmtId="0" fontId="7" fillId="0" borderId="41" xfId="1" applyNumberFormat="1" applyFont="1" applyFill="1" applyBorder="1" applyAlignment="1" applyProtection="1">
      <alignment horizontal="right" vertical="center"/>
      <protection hidden="1"/>
    </xf>
    <xf numFmtId="0" fontId="7" fillId="0" borderId="42" xfId="1" applyNumberFormat="1" applyFont="1" applyFill="1" applyBorder="1" applyAlignment="1" applyProtection="1">
      <alignment horizontal="right" vertical="center"/>
      <protection hidden="1"/>
    </xf>
    <xf numFmtId="0" fontId="8" fillId="0" borderId="67" xfId="2" applyNumberFormat="1" applyFont="1" applyBorder="1" applyAlignment="1" applyProtection="1">
      <alignment horizontal="left" vertical="center" wrapText="1"/>
      <protection hidden="1"/>
    </xf>
    <xf numFmtId="0" fontId="8" fillId="0" borderId="67" xfId="2" applyNumberFormat="1" applyFont="1" applyBorder="1" applyAlignment="1" applyProtection="1">
      <alignment horizontal="left" vertical="center"/>
      <protection hidden="1"/>
    </xf>
    <xf numFmtId="0" fontId="8" fillId="0" borderId="66" xfId="2" applyNumberFormat="1" applyFont="1" applyBorder="1" applyAlignment="1" applyProtection="1">
      <alignment horizontal="left" vertical="center"/>
      <protection hidden="1"/>
    </xf>
    <xf numFmtId="0" fontId="7" fillId="0" borderId="65" xfId="1" applyNumberFormat="1" applyFont="1" applyFill="1" applyBorder="1" applyAlignment="1" applyProtection="1">
      <alignment horizontal="center" vertical="center"/>
      <protection hidden="1"/>
    </xf>
    <xf numFmtId="0" fontId="7" fillId="0" borderId="67" xfId="1" applyNumberFormat="1" applyFont="1" applyFill="1" applyBorder="1" applyAlignment="1" applyProtection="1">
      <alignment horizontal="center" vertical="center"/>
      <protection hidden="1"/>
    </xf>
    <xf numFmtId="0" fontId="7" fillId="0" borderId="66" xfId="1" applyNumberFormat="1" applyFont="1" applyFill="1" applyBorder="1" applyAlignment="1" applyProtection="1">
      <alignment horizontal="center" vertical="center"/>
      <protection hidden="1"/>
    </xf>
    <xf numFmtId="0" fontId="5" fillId="3" borderId="65" xfId="1" applyNumberFormat="1" applyFont="1" applyFill="1" applyBorder="1" applyAlignment="1" applyProtection="1">
      <alignment horizontal="center" vertical="center" wrapText="1"/>
      <protection hidden="1"/>
    </xf>
    <xf numFmtId="0" fontId="5" fillId="3" borderId="67" xfId="1" applyNumberFormat="1" applyFont="1" applyFill="1" applyBorder="1" applyAlignment="1" applyProtection="1">
      <alignment horizontal="center" vertical="center" wrapText="1"/>
      <protection hidden="1"/>
    </xf>
    <xf numFmtId="0" fontId="5" fillId="3" borderId="66" xfId="1" applyNumberFormat="1" applyFont="1" applyFill="1" applyBorder="1" applyAlignment="1" applyProtection="1">
      <alignment horizontal="center" vertical="center" wrapText="1"/>
      <protection hidden="1"/>
    </xf>
    <xf numFmtId="0" fontId="6" fillId="3" borderId="22" xfId="1" applyNumberFormat="1" applyFont="1" applyFill="1" applyBorder="1" applyAlignment="1" applyProtection="1">
      <alignment horizontal="left" vertical="center" wrapText="1"/>
      <protection hidden="1"/>
    </xf>
    <xf numFmtId="0" fontId="6" fillId="3" borderId="12" xfId="1" applyNumberFormat="1" applyFont="1" applyFill="1" applyBorder="1" applyAlignment="1" applyProtection="1">
      <alignment horizontal="left" vertical="center"/>
      <protection hidden="1"/>
    </xf>
    <xf numFmtId="0" fontId="6" fillId="3" borderId="13" xfId="1" applyNumberFormat="1" applyFont="1" applyFill="1" applyBorder="1" applyAlignment="1" applyProtection="1">
      <alignment horizontal="left" vertical="center"/>
      <protection hidden="1"/>
    </xf>
    <xf numFmtId="0" fontId="8" fillId="3" borderId="22" xfId="2" applyNumberFormat="1" applyFont="1" applyFill="1" applyBorder="1" applyAlignment="1" applyProtection="1">
      <alignment horizontal="left" vertical="center" wrapText="1"/>
      <protection hidden="1"/>
    </xf>
    <xf numFmtId="0" fontId="8" fillId="3" borderId="12" xfId="2" applyNumberFormat="1" applyFont="1" applyFill="1" applyBorder="1" applyAlignment="1" applyProtection="1">
      <alignment horizontal="left" vertical="center" wrapText="1"/>
      <protection hidden="1"/>
    </xf>
    <xf numFmtId="0" fontId="8" fillId="3" borderId="13" xfId="2" applyNumberFormat="1" applyFont="1" applyFill="1" applyBorder="1" applyAlignment="1" applyProtection="1">
      <alignment horizontal="left" vertical="center" wrapText="1"/>
      <protection hidden="1"/>
    </xf>
    <xf numFmtId="0" fontId="16" fillId="0" borderId="56" xfId="2" applyNumberFormat="1" applyFont="1" applyBorder="1" applyAlignment="1" applyProtection="1">
      <alignment horizontal="center" vertical="center" textRotation="90" wrapText="1"/>
      <protection hidden="1"/>
    </xf>
    <xf numFmtId="0" fontId="16" fillId="0" borderId="47" xfId="2" applyNumberFormat="1" applyFont="1" applyBorder="1" applyAlignment="1" applyProtection="1">
      <alignment horizontal="center" vertical="center" textRotation="90" wrapText="1"/>
      <protection hidden="1"/>
    </xf>
    <xf numFmtId="0" fontId="6" fillId="0" borderId="70" xfId="2" applyNumberFormat="1" applyFont="1" applyBorder="1" applyAlignment="1" applyProtection="1">
      <alignment horizontal="left" vertical="center" wrapText="1"/>
      <protection hidden="1"/>
    </xf>
    <xf numFmtId="0" fontId="6" fillId="0" borderId="69" xfId="2" applyNumberFormat="1" applyFont="1" applyBorder="1" applyAlignment="1" applyProtection="1">
      <alignment horizontal="left" vertical="center"/>
      <protection hidden="1"/>
    </xf>
    <xf numFmtId="0" fontId="6" fillId="0" borderId="56" xfId="2" applyNumberFormat="1" applyFont="1" applyBorder="1" applyAlignment="1" applyProtection="1">
      <alignment horizontal="left" vertical="center"/>
      <protection hidden="1"/>
    </xf>
    <xf numFmtId="0" fontId="16" fillId="0" borderId="89" xfId="2" applyNumberFormat="1" applyFont="1" applyBorder="1" applyAlignment="1" applyProtection="1">
      <alignment horizontal="center" vertical="center" textRotation="90" wrapText="1"/>
      <protection hidden="1"/>
    </xf>
    <xf numFmtId="0" fontId="16" fillId="0" borderId="80" xfId="2" applyNumberFormat="1" applyFont="1" applyBorder="1" applyAlignment="1" applyProtection="1">
      <alignment horizontal="center" vertical="center" textRotation="90" wrapText="1"/>
      <protection hidden="1"/>
    </xf>
    <xf numFmtId="0" fontId="6" fillId="0" borderId="63" xfId="2" applyNumberFormat="1" applyFont="1" applyBorder="1" applyAlignment="1" applyProtection="1">
      <alignment horizontal="left" vertical="center" wrapText="1"/>
      <protection hidden="1"/>
    </xf>
    <xf numFmtId="0" fontId="6" fillId="0" borderId="89" xfId="2" applyNumberFormat="1" applyFont="1" applyBorder="1" applyAlignment="1" applyProtection="1">
      <alignment horizontal="left" vertical="center" wrapText="1"/>
      <protection hidden="1"/>
    </xf>
    <xf numFmtId="0" fontId="6" fillId="0" borderId="63" xfId="1" applyNumberFormat="1" applyFont="1" applyFill="1" applyBorder="1" applyAlignment="1" applyProtection="1">
      <alignment horizontal="center" vertical="center" wrapText="1"/>
      <protection hidden="1"/>
    </xf>
    <xf numFmtId="0" fontId="6" fillId="0" borderId="56" xfId="1" applyNumberFormat="1" applyFont="1" applyFill="1" applyBorder="1" applyAlignment="1" applyProtection="1">
      <alignment horizontal="center" vertical="center" wrapText="1"/>
      <protection hidden="1"/>
    </xf>
    <xf numFmtId="0" fontId="6" fillId="3" borderId="82" xfId="2" applyNumberFormat="1" applyFont="1" applyFill="1" applyBorder="1" applyAlignment="1" applyProtection="1">
      <alignment horizontal="left" vertical="center" wrapText="1"/>
      <protection hidden="1"/>
    </xf>
    <xf numFmtId="0" fontId="6" fillId="0" borderId="70" xfId="2" applyNumberFormat="1" applyFont="1" applyBorder="1" applyAlignment="1" applyProtection="1">
      <alignment horizontal="left" vertical="center"/>
      <protection hidden="1"/>
    </xf>
    <xf numFmtId="0" fontId="6" fillId="0" borderId="89" xfId="2" applyNumberFormat="1" applyFont="1" applyBorder="1" applyAlignment="1" applyProtection="1">
      <alignment horizontal="left" vertical="center"/>
      <protection hidden="1"/>
    </xf>
    <xf numFmtId="0" fontId="8" fillId="0" borderId="63" xfId="1" applyNumberFormat="1" applyFont="1" applyFill="1" applyBorder="1" applyAlignment="1" applyProtection="1">
      <alignment horizontal="center" vertical="center"/>
      <protection hidden="1"/>
    </xf>
    <xf numFmtId="0" fontId="8" fillId="0" borderId="69" xfId="1" applyNumberFormat="1" applyFont="1" applyFill="1" applyBorder="1" applyAlignment="1" applyProtection="1">
      <alignment horizontal="center" vertical="center"/>
      <protection hidden="1"/>
    </xf>
    <xf numFmtId="0" fontId="8" fillId="0" borderId="56" xfId="1" applyNumberFormat="1" applyFont="1" applyFill="1" applyBorder="1" applyAlignment="1" applyProtection="1">
      <alignment horizontal="center" vertical="center"/>
      <protection hidden="1"/>
    </xf>
    <xf numFmtId="0" fontId="6" fillId="3" borderId="5" xfId="1" applyNumberFormat="1" applyFont="1" applyFill="1" applyBorder="1" applyAlignment="1" applyProtection="1">
      <alignment horizontal="right" vertical="center"/>
      <protection hidden="1"/>
    </xf>
    <xf numFmtId="0" fontId="6" fillId="3" borderId="1" xfId="1" applyNumberFormat="1" applyFont="1" applyFill="1" applyBorder="1" applyAlignment="1" applyProtection="1">
      <alignment horizontal="right" vertical="center"/>
      <protection hidden="1"/>
    </xf>
    <xf numFmtId="0" fontId="6" fillId="3" borderId="3" xfId="1" applyNumberFormat="1" applyFont="1" applyFill="1" applyBorder="1" applyAlignment="1" applyProtection="1">
      <alignment horizontal="right" vertical="center"/>
      <protection hidden="1"/>
    </xf>
    <xf numFmtId="0" fontId="5" fillId="0" borderId="86" xfId="1" applyNumberFormat="1" applyFont="1" applyFill="1" applyBorder="1" applyAlignment="1" applyProtection="1">
      <alignment horizontal="right" vertical="center"/>
      <protection hidden="1"/>
    </xf>
    <xf numFmtId="0" fontId="5" fillId="0" borderId="87" xfId="1" applyNumberFormat="1" applyFont="1" applyFill="1" applyBorder="1" applyAlignment="1" applyProtection="1">
      <alignment horizontal="right" vertical="center"/>
      <protection hidden="1"/>
    </xf>
    <xf numFmtId="0" fontId="5" fillId="0" borderId="88" xfId="1" applyNumberFormat="1" applyFont="1" applyFill="1" applyBorder="1" applyAlignment="1" applyProtection="1">
      <alignment horizontal="right" vertical="center"/>
      <protection hidden="1"/>
    </xf>
    <xf numFmtId="0" fontId="5" fillId="3" borderId="83" xfId="1" applyNumberFormat="1" applyFont="1" applyFill="1" applyBorder="1" applyAlignment="1" applyProtection="1">
      <alignment horizontal="right" vertical="center"/>
      <protection hidden="1"/>
    </xf>
    <xf numFmtId="0" fontId="6" fillId="0" borderId="63" xfId="0" applyNumberFormat="1" applyFont="1" applyBorder="1" applyAlignment="1">
      <alignment horizontal="center"/>
    </xf>
    <xf numFmtId="0" fontId="6" fillId="0" borderId="56" xfId="0" applyNumberFormat="1" applyFont="1" applyBorder="1" applyAlignment="1">
      <alignment horizontal="center"/>
    </xf>
    <xf numFmtId="0" fontId="10" fillId="0" borderId="18" xfId="2" applyFont="1" applyBorder="1" applyAlignment="1" applyProtection="1">
      <alignment horizontal="center" vertical="center" wrapText="1"/>
      <protection hidden="1"/>
    </xf>
    <xf numFmtId="164" fontId="14" fillId="3" borderId="19" xfId="1" applyNumberFormat="1" applyFont="1" applyFill="1" applyBorder="1" applyAlignment="1" applyProtection="1">
      <alignment horizontal="center" vertical="center"/>
      <protection hidden="1"/>
    </xf>
    <xf numFmtId="164" fontId="14" fillId="3" borderId="20" xfId="1" applyNumberFormat="1" applyFont="1" applyFill="1" applyBorder="1" applyAlignment="1" applyProtection="1">
      <alignment horizontal="center" vertical="center"/>
      <protection hidden="1"/>
    </xf>
    <xf numFmtId="164" fontId="14" fillId="3" borderId="21" xfId="1" applyNumberFormat="1" applyFont="1" applyFill="1" applyBorder="1" applyAlignment="1" applyProtection="1">
      <alignment horizontal="center" vertical="center"/>
      <protection hidden="1"/>
    </xf>
    <xf numFmtId="0" fontId="6" fillId="0" borderId="22" xfId="2" applyFont="1" applyBorder="1" applyAlignment="1" applyProtection="1">
      <alignment horizontal="center" vertical="center" wrapText="1"/>
      <protection hidden="1"/>
    </xf>
    <xf numFmtId="0" fontId="6" fillId="0" borderId="22" xfId="2" applyFont="1" applyBorder="1" applyAlignment="1" applyProtection="1">
      <alignment horizontal="center" wrapText="1"/>
      <protection hidden="1"/>
    </xf>
    <xf numFmtId="0" fontId="6" fillId="0" borderId="12" xfId="2" applyFont="1" applyBorder="1" applyAlignment="1" applyProtection="1">
      <alignment horizontal="center" wrapText="1"/>
      <protection hidden="1"/>
    </xf>
    <xf numFmtId="0" fontId="6" fillId="0" borderId="13" xfId="2" applyFont="1" applyBorder="1" applyAlignment="1" applyProtection="1">
      <alignment horizontal="center" wrapText="1"/>
      <protection hidden="1"/>
    </xf>
    <xf numFmtId="164" fontId="14" fillId="3" borderId="0" xfId="1" applyNumberFormat="1" applyFont="1" applyFill="1" applyBorder="1" applyAlignment="1" applyProtection="1">
      <alignment horizontal="left" vertical="center" wrapText="1"/>
      <protection hidden="1"/>
    </xf>
    <xf numFmtId="164" fontId="14" fillId="3" borderId="31" xfId="1" applyNumberFormat="1" applyFont="1" applyFill="1" applyBorder="1" applyAlignment="1" applyProtection="1">
      <alignment horizontal="left" vertical="center" wrapText="1"/>
      <protection hidden="1"/>
    </xf>
    <xf numFmtId="164" fontId="14" fillId="3" borderId="30" xfId="1" applyNumberFormat="1" applyFont="1" applyFill="1" applyBorder="1" applyAlignment="1" applyProtection="1">
      <alignment horizontal="center" vertical="center"/>
      <protection hidden="1"/>
    </xf>
    <xf numFmtId="164" fontId="14" fillId="3" borderId="0" xfId="1" applyNumberFormat="1" applyFont="1" applyFill="1" applyBorder="1" applyAlignment="1" applyProtection="1">
      <alignment horizontal="center" vertical="center"/>
      <protection hidden="1"/>
    </xf>
    <xf numFmtId="164" fontId="14" fillId="3" borderId="31" xfId="1" applyNumberFormat="1" applyFont="1" applyFill="1" applyBorder="1" applyAlignment="1" applyProtection="1">
      <alignment horizontal="center" vertical="center"/>
      <protection hidden="1"/>
    </xf>
    <xf numFmtId="0" fontId="9" fillId="0" borderId="16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18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20" fillId="3" borderId="30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1" fillId="0" borderId="18" xfId="0" applyFont="1" applyBorder="1" applyAlignment="1">
      <alignment horizontal="center" vertical="top"/>
    </xf>
    <xf numFmtId="0" fontId="21" fillId="0" borderId="16" xfId="0" applyFont="1" applyBorder="1" applyAlignment="1">
      <alignment horizontal="center" vertical="top"/>
    </xf>
    <xf numFmtId="0" fontId="21" fillId="0" borderId="30" xfId="0" applyFont="1" applyBorder="1" applyAlignment="1">
      <alignment horizontal="center" vertical="top"/>
    </xf>
    <xf numFmtId="0" fontId="21" fillId="0" borderId="0" xfId="0" applyFont="1" applyBorder="1" applyAlignment="1">
      <alignment horizontal="center" vertical="top"/>
    </xf>
    <xf numFmtId="0" fontId="21" fillId="0" borderId="0" xfId="0" applyFont="1" applyAlignment="1">
      <alignment horizontal="center" vertical="top"/>
    </xf>
    <xf numFmtId="0" fontId="6" fillId="3" borderId="65" xfId="2" applyNumberFormat="1" applyFont="1" applyFill="1" applyBorder="1" applyAlignment="1" applyProtection="1">
      <alignment horizontal="left" vertical="center" wrapText="1"/>
      <protection hidden="1"/>
    </xf>
    <xf numFmtId="0" fontId="6" fillId="3" borderId="66" xfId="2" applyNumberFormat="1" applyFont="1" applyFill="1" applyBorder="1" applyAlignment="1" applyProtection="1">
      <alignment horizontal="left" vertical="center" wrapText="1"/>
      <protection hidden="1"/>
    </xf>
    <xf numFmtId="0" fontId="8" fillId="3" borderId="82" xfId="1" applyNumberFormat="1" applyFont="1" applyFill="1" applyBorder="1" applyAlignment="1" applyProtection="1">
      <alignment horizontal="center" vertical="center"/>
      <protection hidden="1"/>
    </xf>
    <xf numFmtId="0" fontId="8" fillId="3" borderId="45" xfId="1" applyNumberFormat="1" applyFont="1" applyFill="1" applyBorder="1" applyAlignment="1" applyProtection="1">
      <alignment horizontal="center" vertical="center"/>
      <protection hidden="1"/>
    </xf>
    <xf numFmtId="0" fontId="8" fillId="3" borderId="76" xfId="1" applyNumberFormat="1" applyFont="1" applyFill="1" applyBorder="1" applyAlignment="1" applyProtection="1">
      <alignment horizontal="center" vertical="center"/>
      <protection hidden="1"/>
    </xf>
    <xf numFmtId="0" fontId="8" fillId="0" borderId="70" xfId="1" applyNumberFormat="1" applyFont="1" applyBorder="1" applyAlignment="1" applyProtection="1">
      <alignment horizontal="center" vertical="center"/>
      <protection hidden="1"/>
    </xf>
    <xf numFmtId="0" fontId="8" fillId="0" borderId="69" xfId="1" applyNumberFormat="1" applyFont="1" applyBorder="1" applyAlignment="1" applyProtection="1">
      <alignment horizontal="center" vertical="center"/>
      <protection hidden="1"/>
    </xf>
    <xf numFmtId="0" fontId="8" fillId="0" borderId="56" xfId="1" applyNumberFormat="1" applyFont="1" applyBorder="1" applyAlignment="1" applyProtection="1">
      <alignment horizontal="center" vertical="center"/>
      <protection hidden="1"/>
    </xf>
    <xf numFmtId="0" fontId="5" fillId="0" borderId="22" xfId="2" applyFont="1" applyBorder="1" applyAlignment="1" applyProtection="1">
      <alignment horizontal="left" vertical="center" wrapText="1"/>
      <protection hidden="1"/>
    </xf>
    <xf numFmtId="0" fontId="5" fillId="0" borderId="12" xfId="2" applyFont="1" applyBorder="1" applyAlignment="1" applyProtection="1">
      <alignment horizontal="left" vertical="center" wrapText="1"/>
      <protection hidden="1"/>
    </xf>
    <xf numFmtId="0" fontId="7" fillId="0" borderId="12" xfId="2" applyFont="1" applyBorder="1" applyAlignment="1" applyProtection="1">
      <alignment horizontal="center" vertical="center" wrapText="1"/>
      <protection hidden="1"/>
    </xf>
    <xf numFmtId="0" fontId="19" fillId="0" borderId="30" xfId="2" applyNumberFormat="1" applyFont="1" applyBorder="1" applyAlignment="1" applyProtection="1">
      <alignment horizontal="center" vertical="center" textRotation="90" wrapText="1"/>
      <protection hidden="1"/>
    </xf>
    <xf numFmtId="0" fontId="19" fillId="0" borderId="31" xfId="2" applyNumberFormat="1" applyFont="1" applyBorder="1" applyAlignment="1" applyProtection="1">
      <alignment horizontal="center" vertical="center" textRotation="90" wrapText="1"/>
      <protection hidden="1"/>
    </xf>
    <xf numFmtId="0" fontId="19" fillId="0" borderId="19" xfId="2" applyNumberFormat="1" applyFont="1" applyBorder="1" applyAlignment="1" applyProtection="1">
      <alignment horizontal="center" vertical="center" textRotation="90" wrapText="1"/>
      <protection hidden="1"/>
    </xf>
    <xf numFmtId="0" fontId="19" fillId="0" borderId="21" xfId="2" applyNumberFormat="1" applyFont="1" applyBorder="1" applyAlignment="1" applyProtection="1">
      <alignment horizontal="center" vertical="center" textRotation="90" wrapText="1"/>
      <protection hidden="1"/>
    </xf>
    <xf numFmtId="0" fontId="5" fillId="0" borderId="22" xfId="2" applyNumberFormat="1" applyFont="1" applyBorder="1" applyAlignment="1" applyProtection="1">
      <alignment horizontal="left" vertical="center" wrapText="1"/>
      <protection hidden="1"/>
    </xf>
    <xf numFmtId="0" fontId="5" fillId="0" borderId="12" xfId="2" applyNumberFormat="1" applyFont="1" applyBorder="1" applyAlignment="1" applyProtection="1">
      <alignment horizontal="left" vertical="center" wrapText="1"/>
      <protection hidden="1"/>
    </xf>
    <xf numFmtId="0" fontId="5" fillId="0" borderId="84" xfId="2" applyNumberFormat="1" applyFont="1" applyBorder="1" applyAlignment="1" applyProtection="1">
      <alignment horizontal="left" vertical="center" wrapText="1"/>
      <protection hidden="1"/>
    </xf>
    <xf numFmtId="0" fontId="7" fillId="0" borderId="22" xfId="1" applyNumberFormat="1" applyFont="1" applyFill="1" applyBorder="1" applyAlignment="1" applyProtection="1">
      <alignment horizontal="center" vertical="center"/>
      <protection hidden="1"/>
    </xf>
    <xf numFmtId="0" fontId="7" fillId="0" borderId="12" xfId="1" applyNumberFormat="1" applyFont="1" applyFill="1" applyBorder="1" applyAlignment="1" applyProtection="1">
      <alignment horizontal="center" vertical="center"/>
      <protection hidden="1"/>
    </xf>
    <xf numFmtId="0" fontId="7" fillId="0" borderId="13" xfId="1" applyNumberFormat="1" applyFont="1" applyFill="1" applyBorder="1" applyAlignment="1" applyProtection="1">
      <alignment horizontal="center" vertical="center"/>
      <protection hidden="1"/>
    </xf>
    <xf numFmtId="0" fontId="7" fillId="3" borderId="22" xfId="1" applyNumberFormat="1" applyFont="1" applyFill="1" applyBorder="1" applyAlignment="1" applyProtection="1">
      <alignment horizontal="left" vertical="center" wrapText="1"/>
      <protection hidden="1"/>
    </xf>
    <xf numFmtId="0" fontId="7" fillId="3" borderId="12" xfId="1" applyNumberFormat="1" applyFont="1" applyFill="1" applyBorder="1" applyAlignment="1" applyProtection="1">
      <alignment horizontal="left" vertical="center"/>
      <protection hidden="1"/>
    </xf>
    <xf numFmtId="0" fontId="7" fillId="3" borderId="13" xfId="1" applyNumberFormat="1" applyFont="1" applyFill="1" applyBorder="1" applyAlignment="1" applyProtection="1">
      <alignment horizontal="left" vertical="center"/>
      <protection hidden="1"/>
    </xf>
    <xf numFmtId="0" fontId="7" fillId="3" borderId="22" xfId="2" applyFont="1" applyFill="1" applyBorder="1" applyAlignment="1" applyProtection="1">
      <alignment horizontal="left" vertical="center" wrapText="1"/>
      <protection hidden="1"/>
    </xf>
    <xf numFmtId="0" fontId="7" fillId="3" borderId="12" xfId="2" applyFont="1" applyFill="1" applyBorder="1" applyAlignment="1" applyProtection="1">
      <alignment horizontal="left" vertical="center" wrapText="1"/>
      <protection hidden="1"/>
    </xf>
    <xf numFmtId="0" fontId="7" fillId="3" borderId="13" xfId="2" applyFont="1" applyFill="1" applyBorder="1" applyAlignment="1" applyProtection="1">
      <alignment horizontal="left" vertical="center" wrapText="1"/>
      <protection hidden="1"/>
    </xf>
    <xf numFmtId="0" fontId="6" fillId="0" borderId="22" xfId="2" applyNumberFormat="1" applyFont="1" applyBorder="1" applyAlignment="1" applyProtection="1">
      <alignment horizontal="center" vertical="center"/>
      <protection hidden="1"/>
    </xf>
    <xf numFmtId="0" fontId="6" fillId="0" borderId="12" xfId="2" applyNumberFormat="1" applyFont="1" applyBorder="1" applyAlignment="1" applyProtection="1">
      <alignment horizontal="center" vertical="center"/>
      <protection hidden="1"/>
    </xf>
  </cellXfs>
  <cellStyles count="4">
    <cellStyle name="Hipervínculo" xfId="3" builtinId="8"/>
    <cellStyle name="Millares" xfId="1" builtinId="3"/>
    <cellStyle name="Normal" xfId="0" builtinId="0"/>
    <cellStyle name="Normal 4" xfId="2" xr:uid="{B3D5CBFE-539B-4B72-A12D-6A69B2CCC4A0}"/>
  </cellStyles>
  <dxfs count="0"/>
  <tableStyles count="1" defaultTableStyle="TableStyleMedium2" defaultPivotStyle="PivotStyleLight16">
    <tableStyle name="MySqlDefault" pivot="0" table="0" count="0" xr9:uid="{82B4DD47-F1D1-4401-859B-C3F7B5DDA50A}"/>
  </tableStyles>
  <colors>
    <mruColors>
      <color rgb="FF0BEB20"/>
      <color rgb="FFBEE4E4"/>
      <color rgb="FFB1F1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22/10/relationships/richValueRel" Target="richData/richValueRel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9071</xdr:colOff>
      <xdr:row>1</xdr:row>
      <xdr:rowOff>68447</xdr:rowOff>
    </xdr:from>
    <xdr:to>
      <xdr:col>26</xdr:col>
      <xdr:colOff>1047750</xdr:colOff>
      <xdr:row>1</xdr:row>
      <xdr:rowOff>912090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F1DE1A77-3CE4-E8FB-CCE1-4292BCE8E6DF}"/>
            </a:ext>
          </a:extLst>
        </xdr:cNvPr>
        <xdr:cNvGrpSpPr/>
      </xdr:nvGrpSpPr>
      <xdr:grpSpPr>
        <a:xfrm>
          <a:off x="15249071" y="247741"/>
          <a:ext cx="2096514" cy="843643"/>
          <a:chOff x="5661659" y="3909060"/>
          <a:chExt cx="2621281" cy="937260"/>
        </a:xfrm>
      </xdr:grpSpPr>
      <xdr:sp macro="" textlink="">
        <xdr:nvSpPr>
          <xdr:cNvPr id="4" name="Rectángulo 3">
            <a:extLst>
              <a:ext uri="{FF2B5EF4-FFF2-40B4-BE49-F238E27FC236}">
                <a16:creationId xmlns:a16="http://schemas.microsoft.com/office/drawing/2014/main" id="{474FD612-D8A5-738E-5346-7A92495EAE54}"/>
              </a:ext>
            </a:extLst>
          </xdr:cNvPr>
          <xdr:cNvSpPr/>
        </xdr:nvSpPr>
        <xdr:spPr>
          <a:xfrm>
            <a:off x="5661659" y="3909060"/>
            <a:ext cx="2621281" cy="937260"/>
          </a:xfrm>
          <a:prstGeom prst="rect">
            <a:avLst/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s-CO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 sz="1400"/>
          </a:p>
        </xdr:txBody>
      </xdr:sp>
      <xdr:sp macro="" textlink="">
        <xdr:nvSpPr>
          <xdr:cNvPr id="5" name="Rectángulo 4">
            <a:extLst>
              <a:ext uri="{FF2B5EF4-FFF2-40B4-BE49-F238E27FC236}">
                <a16:creationId xmlns:a16="http://schemas.microsoft.com/office/drawing/2014/main" id="{FB163E99-9FAD-A064-C7B8-0E0CE1042F59}"/>
              </a:ext>
            </a:extLst>
          </xdr:cNvPr>
          <xdr:cNvSpPr/>
        </xdr:nvSpPr>
        <xdr:spPr>
          <a:xfrm>
            <a:off x="5714999" y="3936455"/>
            <a:ext cx="2514600" cy="877857"/>
          </a:xfrm>
          <a:prstGeom prst="rect">
            <a:avLst/>
          </a:prstGeom>
          <a:solidFill>
            <a:schemeClr val="tx2">
              <a:lumMod val="90000"/>
              <a:lumOff val="1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s-CO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 sz="5400" b="1">
                <a:latin typeface="Arial Nova Light" panose="020B0304020202020204" pitchFamily="34" charset="0"/>
              </a:rPr>
              <a:t>210</a:t>
            </a:r>
            <a:endParaRPr lang="es-CO" sz="5400" b="1">
              <a:latin typeface="Arial Nova Light" panose="020B0304020202020204" pitchFamily="34" charset="0"/>
            </a:endParaRPr>
          </a:p>
        </xdr:txBody>
      </xdr:sp>
    </xdr:grpSp>
    <xdr:clientData/>
  </xdr:twoCellAnchor>
  <xdr:twoCellAnchor editAs="oneCell">
    <xdr:from>
      <xdr:col>1</xdr:col>
      <xdr:colOff>117104</xdr:colOff>
      <xdr:row>1</xdr:row>
      <xdr:rowOff>150090</xdr:rowOff>
    </xdr:from>
    <xdr:to>
      <xdr:col>7</xdr:col>
      <xdr:colOff>298171</xdr:colOff>
      <xdr:row>1</xdr:row>
      <xdr:rowOff>761999</xdr:rowOff>
    </xdr:to>
    <xdr:pic>
      <xdr:nvPicPr>
        <xdr:cNvPr id="6" name="image6.png">
          <a:extLst>
            <a:ext uri="{FF2B5EF4-FFF2-40B4-BE49-F238E27FC236}">
              <a16:creationId xmlns:a16="http://schemas.microsoft.com/office/drawing/2014/main" id="{50F8B0C2-E352-454F-8E2E-CC5AC8424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831" y="334817"/>
          <a:ext cx="3367613" cy="611909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29</xdr:row>
      <xdr:rowOff>123825</xdr:rowOff>
    </xdr:from>
    <xdr:to>
      <xdr:col>47</xdr:col>
      <xdr:colOff>274392</xdr:colOff>
      <xdr:row>39</xdr:row>
      <xdr:rowOff>276701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2ED8C8-7AD7-C088-7130-ECF831000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54700" y="11020425"/>
          <a:ext cx="6373114" cy="341042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an.gov.co/atencionciudadano/formulariosinstructivos/Formularios/2024/Formulario_260_2024.pdf" TargetMode="External"/><Relationship Id="rId13" Type="http://schemas.openxmlformats.org/officeDocument/2006/relationships/hyperlink" Target="https://www.dian.gov.co/atencionciudadano/formulariosinstructivos/Formularios/2024/Formulario_330_2024.pdf" TargetMode="External"/><Relationship Id="rId18" Type="http://schemas.openxmlformats.org/officeDocument/2006/relationships/hyperlink" Target="https://www.dian.gov.co/atencionciudadano/formulariosinstructivos/Formularios/2024/Formulario_400_2024.pdf" TargetMode="External"/><Relationship Id="rId26" Type="http://schemas.openxmlformats.org/officeDocument/2006/relationships/hyperlink" Target="https://www.dian.gov.co/atencionciudadano/formulariosinstructivos/Formularios/2024/Formulario_510_2024.pdf" TargetMode="External"/><Relationship Id="rId3" Type="http://schemas.openxmlformats.org/officeDocument/2006/relationships/hyperlink" Target="https://www.dian.gov.co/atencionciudadano/formulariosinstructivos/Formularios/2024/Formulario_150_2024.pdf" TargetMode="External"/><Relationship Id="rId21" Type="http://schemas.openxmlformats.org/officeDocument/2006/relationships/hyperlink" Target="https://www.dian.gov.co/atencionciudadano/formulariosinstructivos/Formularios/2024/Formulario_430_2024.pdf" TargetMode="External"/><Relationship Id="rId7" Type="http://schemas.openxmlformats.org/officeDocument/2006/relationships/hyperlink" Target="https://www.dian.gov.co/atencionciudadano/formulariosinstructivos/Formularios/2024/Formulario_2593_2024.pdf" TargetMode="External"/><Relationship Id="rId12" Type="http://schemas.openxmlformats.org/officeDocument/2006/relationships/hyperlink" Target="https://www.dian.gov.co/atencionciudadano/formulariosinstructivos/Formularios/2024/Formulario_325_2024.pdf" TargetMode="External"/><Relationship Id="rId17" Type="http://schemas.openxmlformats.org/officeDocument/2006/relationships/hyperlink" Target="https://www.dian.gov.co/atencionciudadano/formulariosinstructivos/Formularios/2024/Formulario_350_01082024.pdf" TargetMode="External"/><Relationship Id="rId25" Type="http://schemas.openxmlformats.org/officeDocument/2006/relationships/hyperlink" Target="https://www.dian.gov.co/atencionciudadano/formulariosinstructivos/Formularios/2024/Formulario_505_2024.pdf" TargetMode="External"/><Relationship Id="rId2" Type="http://schemas.openxmlformats.org/officeDocument/2006/relationships/hyperlink" Target="https://www.dian.gov.co/atencionciudadano/formulariosinstructivos/Formularios/2024/Formulario_120_2024.pdf" TargetMode="External"/><Relationship Id="rId16" Type="http://schemas.openxmlformats.org/officeDocument/2006/relationships/hyperlink" Target="https://www.dian.gov.co/atencionciudadano/formulariosinstructivos/Formularios/2024/Formulario_350_2024.pdf" TargetMode="External"/><Relationship Id="rId20" Type="http://schemas.openxmlformats.org/officeDocument/2006/relationships/hyperlink" Target="https://www.dian.gov.co/atencionciudadano/formulariosinstructivos/Formularios/2024/Formulario_420_2024.pdf" TargetMode="External"/><Relationship Id="rId29" Type="http://schemas.openxmlformats.org/officeDocument/2006/relationships/hyperlink" Target="https://www.dian.gov.co/atencionciudadano/formulariosinstructivos/Formularios/2024/Formulario_532_2024.pdf" TargetMode="External"/><Relationship Id="rId1" Type="http://schemas.openxmlformats.org/officeDocument/2006/relationships/hyperlink" Target="https://www.dian.gov.co/atencionciudadano/formulariosinstructivos/Formularios/2024/Formulario_110_2024.pdf" TargetMode="External"/><Relationship Id="rId6" Type="http://schemas.openxmlformats.org/officeDocument/2006/relationships/hyperlink" Target="https://www.dian.gov.co/atencionciudadano/formulariosinstructivos/Formularios/2024/Formulario_220_2024.pdf" TargetMode="External"/><Relationship Id="rId11" Type="http://schemas.openxmlformats.org/officeDocument/2006/relationships/hyperlink" Target="https://www.dian.gov.co/atencionciudadano/formulariosinstructivos/Formularios/2024/Formulario_310_2024.pdf" TargetMode="External"/><Relationship Id="rId24" Type="http://schemas.openxmlformats.org/officeDocument/2006/relationships/hyperlink" Target="https://www.dian.gov.co/atencionciudadano/formulariosinstructivos/Formularios/2024/Formulario_500_2024.pdf" TargetMode="External"/><Relationship Id="rId5" Type="http://schemas.openxmlformats.org/officeDocument/2006/relationships/hyperlink" Target="https://www.dian.gov.co/atencionciudadano/formulariosinstructivos/Formularios/2024/Formulario_210_2024.pdf" TargetMode="External"/><Relationship Id="rId15" Type="http://schemas.openxmlformats.org/officeDocument/2006/relationships/hyperlink" Target="https://www.dian.gov.co/atencionciudadano/formulariosinstructivos/Formularios/2024/Formulario_340_2024.pdf" TargetMode="External"/><Relationship Id="rId23" Type="http://schemas.openxmlformats.org/officeDocument/2006/relationships/hyperlink" Target="https://www.dian.gov.co/atencionciudadano/formulariosinstructivos/Formularios/2024/Formulario_490_2024.pdf" TargetMode="External"/><Relationship Id="rId28" Type="http://schemas.openxmlformats.org/officeDocument/2006/relationships/hyperlink" Target="https://www.dian.gov.co/atencionciudadano/formulariosinstructivos/Formularios/2024/Formulario_530_2024.pdf" TargetMode="External"/><Relationship Id="rId10" Type="http://schemas.openxmlformats.org/officeDocument/2006/relationships/hyperlink" Target="https://www.dian.gov.co/atencionciudadano/formulariosinstructivos/Formularios/2024/Formulario_300_2024.pdf" TargetMode="External"/><Relationship Id="rId19" Type="http://schemas.openxmlformats.org/officeDocument/2006/relationships/hyperlink" Target="https://www.dian.gov.co/atencionciudadano/formulariosinstructivos/Formularios/2024/Formulario_410_2024.pdf" TargetMode="External"/><Relationship Id="rId4" Type="http://schemas.openxmlformats.org/officeDocument/2006/relationships/hyperlink" Target="https://www.dian.gov.co/atencionciudadano/formulariosinstructivos/Formularios/2024/Formulario_160_2024.pdf" TargetMode="External"/><Relationship Id="rId9" Type="http://schemas.openxmlformats.org/officeDocument/2006/relationships/hyperlink" Target="https://www.dian.gov.co/atencionciudadano/formulariosinstructivos/Formularios/2024/Formulario_260_2024-2.pdf" TargetMode="External"/><Relationship Id="rId14" Type="http://schemas.openxmlformats.org/officeDocument/2006/relationships/hyperlink" Target="https://www.dian.gov.co/atencionciudadano/formulariosinstructivos/Formularios/2024/Formulario_335_2024.pdf" TargetMode="External"/><Relationship Id="rId22" Type="http://schemas.openxmlformats.org/officeDocument/2006/relationships/hyperlink" Target="https://www.dian.gov.co/atencionciudadano/formulariosinstructivos/Formularios/2024/Formulario_435_2024.pdf" TargetMode="External"/><Relationship Id="rId27" Type="http://schemas.openxmlformats.org/officeDocument/2006/relationships/hyperlink" Target="https://www.dian.gov.co/atencionciudadano/formulariosinstructivos/Formularios/2024/Formulario_520_2024.pdf" TargetMode="External"/><Relationship Id="rId30" Type="http://schemas.openxmlformats.org/officeDocument/2006/relationships/hyperlink" Target="https://www.dian.gov.co/atencionciudadano/formulariosinstructivos/Formularios/2024/Formulario_534_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280E-0C38-4E67-AE79-8F5875F5646D}">
  <dimension ref="A1:AK56"/>
  <sheetViews>
    <sheetView showGridLines="0" tabSelected="1" topLeftCell="B3" zoomScale="85" zoomScaleNormal="85" workbookViewId="0">
      <selection activeCell="V8" sqref="V8:Y8"/>
    </sheetView>
  </sheetViews>
  <sheetFormatPr baseColWidth="10" defaultColWidth="11.44140625" defaultRowHeight="13.8" x14ac:dyDescent="0.25"/>
  <cols>
    <col min="1" max="1" width="26.21875" style="2" customWidth="1"/>
    <col min="2" max="2" width="4.21875" style="2" customWidth="1"/>
    <col min="3" max="3" width="7" style="2" customWidth="1"/>
    <col min="4" max="4" width="9.77734375" style="2" customWidth="1"/>
    <col min="5" max="7" width="8.21875" style="2" customWidth="1"/>
    <col min="8" max="8" width="7" style="2" customWidth="1"/>
    <col min="9" max="9" width="9.5546875" style="2" customWidth="1"/>
    <col min="10" max="10" width="7.6640625" style="2" customWidth="1"/>
    <col min="11" max="11" width="8.5546875" style="2" customWidth="1"/>
    <col min="12" max="12" width="13.44140625" style="2" customWidth="1"/>
    <col min="13" max="13" width="5.5546875" style="2" customWidth="1"/>
    <col min="14" max="14" width="16.5546875" style="2" customWidth="1"/>
    <col min="15" max="15" width="7.21875" style="2" customWidth="1"/>
    <col min="16" max="16" width="6" style="2" customWidth="1"/>
    <col min="17" max="17" width="8.21875" style="2" customWidth="1"/>
    <col min="18" max="18" width="6.5546875" style="2" customWidth="1"/>
    <col min="19" max="19" width="9.44140625" style="2" customWidth="1"/>
    <col min="20" max="20" width="7" style="2" customWidth="1"/>
    <col min="21" max="21" width="12.21875" style="2" customWidth="1"/>
    <col min="22" max="22" width="8.44140625" style="2" customWidth="1"/>
    <col min="23" max="23" width="10.21875" style="2" customWidth="1"/>
    <col min="24" max="24" width="6.21875" style="2" customWidth="1"/>
    <col min="25" max="25" width="7.77734375" style="2" customWidth="1"/>
    <col min="26" max="26" width="7.5546875" style="2" customWidth="1"/>
    <col min="27" max="27" width="16.44140625" style="2" customWidth="1"/>
    <col min="28" max="28" width="6.77734375" style="2" customWidth="1"/>
    <col min="29" max="29" width="11" style="2" hidden="1" customWidth="1"/>
    <col min="30" max="30" width="15.44140625" style="2" hidden="1" customWidth="1"/>
    <col min="31" max="31" width="44.5546875" style="2" hidden="1" customWidth="1"/>
    <col min="32" max="32" width="43.44140625" style="2" hidden="1" customWidth="1"/>
    <col min="33" max="34" width="18.21875" style="2" hidden="1" customWidth="1"/>
    <col min="35" max="35" width="18.77734375" style="2" hidden="1" customWidth="1"/>
    <col min="36" max="39" width="0" style="2" hidden="1" customWidth="1"/>
    <col min="40" max="16384" width="11.44140625" style="2"/>
  </cols>
  <sheetData>
    <row r="1" spans="1:37" ht="14.4" thickBot="1" x14ac:dyDescent="0.3"/>
    <row r="2" spans="1:37" ht="76.5" customHeight="1" thickBot="1" x14ac:dyDescent="0.3">
      <c r="B2" s="436"/>
      <c r="C2" s="437"/>
      <c r="D2" s="437"/>
      <c r="E2" s="437"/>
      <c r="F2" s="437"/>
      <c r="G2" s="437"/>
      <c r="H2" s="438"/>
      <c r="I2" s="3"/>
      <c r="J2" s="163" t="s">
        <v>73</v>
      </c>
      <c r="K2" s="164"/>
      <c r="L2" s="164"/>
      <c r="M2" s="164"/>
      <c r="N2" s="164"/>
      <c r="O2" s="164"/>
      <c r="P2" s="164"/>
      <c r="Q2" s="164"/>
      <c r="R2" s="164"/>
      <c r="S2" s="165"/>
      <c r="T2" s="11"/>
      <c r="U2" s="175"/>
      <c r="V2" s="176"/>
      <c r="W2" s="176"/>
      <c r="X2" s="177"/>
      <c r="Y2" s="174"/>
      <c r="Z2" s="174"/>
      <c r="AA2" s="174"/>
    </row>
    <row r="3" spans="1:37" ht="7.5" customHeight="1" thickBot="1" x14ac:dyDescent="0.3">
      <c r="B3" s="71"/>
      <c r="C3" s="72"/>
      <c r="D3" s="72"/>
      <c r="E3" s="72"/>
      <c r="F3" s="72"/>
      <c r="G3" s="3"/>
      <c r="H3" s="181"/>
      <c r="I3" s="181"/>
      <c r="J3" s="181"/>
      <c r="K3" s="181"/>
      <c r="L3" s="181"/>
      <c r="M3" s="181"/>
      <c r="N3" s="181"/>
      <c r="O3" s="181"/>
      <c r="P3" s="182"/>
      <c r="Q3" s="431"/>
      <c r="R3" s="181"/>
      <c r="S3" s="181"/>
      <c r="T3" s="181"/>
      <c r="U3" s="181"/>
      <c r="V3" s="181"/>
      <c r="W3" s="181"/>
      <c r="X3" s="181"/>
      <c r="Y3" s="181"/>
      <c r="Z3" s="181"/>
      <c r="AA3" s="182"/>
    </row>
    <row r="4" spans="1:37" ht="23.25" customHeight="1" thickBot="1" x14ac:dyDescent="0.3">
      <c r="A4" s="13"/>
      <c r="B4" s="161" t="s">
        <v>62</v>
      </c>
      <c r="C4" s="162"/>
      <c r="D4" s="1"/>
      <c r="E4" s="1"/>
      <c r="F4" s="1"/>
      <c r="G4" s="1"/>
      <c r="H4" s="183"/>
      <c r="I4" s="183"/>
      <c r="J4" s="183"/>
      <c r="K4" s="183"/>
      <c r="L4" s="183"/>
      <c r="M4" s="183"/>
      <c r="N4" s="183"/>
      <c r="O4" s="183"/>
      <c r="P4" s="184"/>
      <c r="Q4" s="190" t="s">
        <v>93</v>
      </c>
      <c r="R4" s="191"/>
      <c r="S4" s="191"/>
      <c r="T4" s="191"/>
      <c r="U4" s="191"/>
      <c r="V4" s="191"/>
      <c r="W4" s="191"/>
      <c r="X4" s="191"/>
      <c r="Y4" s="191"/>
      <c r="Z4" s="191"/>
      <c r="AA4" s="192"/>
    </row>
    <row r="5" spans="1:37" s="16" customFormat="1" ht="122.55" customHeight="1" thickBot="1" x14ac:dyDescent="0.3">
      <c r="A5" s="13"/>
      <c r="B5" s="178" t="s">
        <v>74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80"/>
      <c r="Q5" s="193"/>
      <c r="R5" s="194"/>
      <c r="S5" s="194"/>
      <c r="T5" s="194"/>
      <c r="U5" s="194"/>
      <c r="V5" s="194"/>
      <c r="W5" s="194"/>
      <c r="X5" s="194"/>
      <c r="Y5" s="194"/>
      <c r="Z5" s="194"/>
      <c r="AA5" s="195"/>
      <c r="AD5" s="2" t="s">
        <v>129</v>
      </c>
    </row>
    <row r="6" spans="1:37" s="16" customFormat="1" ht="30" customHeight="1" x14ac:dyDescent="0.25">
      <c r="A6" s="13"/>
      <c r="B6" s="169" t="s">
        <v>0</v>
      </c>
      <c r="C6" s="170"/>
      <c r="D6" s="189" t="s">
        <v>1</v>
      </c>
      <c r="E6" s="173"/>
      <c r="F6" s="173"/>
      <c r="G6" s="173"/>
      <c r="H6" s="173"/>
      <c r="I6" s="173"/>
      <c r="J6" s="173"/>
      <c r="K6" s="173"/>
      <c r="L6" s="12" t="s">
        <v>2</v>
      </c>
      <c r="M6" s="188" t="s">
        <v>63</v>
      </c>
      <c r="N6" s="188"/>
      <c r="O6" s="188"/>
      <c r="P6" s="188" t="s">
        <v>64</v>
      </c>
      <c r="Q6" s="188"/>
      <c r="R6" s="188"/>
      <c r="S6" s="188"/>
      <c r="T6" s="188" t="s">
        <v>65</v>
      </c>
      <c r="U6" s="188"/>
      <c r="V6" s="188"/>
      <c r="W6" s="188"/>
      <c r="X6" s="173" t="s">
        <v>66</v>
      </c>
      <c r="Y6" s="173"/>
      <c r="Z6" s="173"/>
      <c r="AA6" s="122" t="s">
        <v>153</v>
      </c>
      <c r="AD6" s="80">
        <v>47065</v>
      </c>
    </row>
    <row r="7" spans="1:37" s="16" customFormat="1" ht="30" customHeight="1" thickBot="1" x14ac:dyDescent="0.3">
      <c r="A7" s="13"/>
      <c r="B7" s="171"/>
      <c r="C7" s="172"/>
      <c r="D7" s="185"/>
      <c r="E7" s="186"/>
      <c r="F7" s="186"/>
      <c r="G7" s="186"/>
      <c r="H7" s="186"/>
      <c r="I7" s="186"/>
      <c r="J7" s="186"/>
      <c r="K7" s="187"/>
      <c r="L7" s="14" t="s">
        <v>3</v>
      </c>
      <c r="M7" s="185"/>
      <c r="N7" s="186"/>
      <c r="O7" s="187"/>
      <c r="P7" s="185"/>
      <c r="Q7" s="186"/>
      <c r="R7" s="186"/>
      <c r="S7" s="187"/>
      <c r="T7" s="185"/>
      <c r="U7" s="186"/>
      <c r="V7" s="186"/>
      <c r="W7" s="187"/>
      <c r="X7" s="185"/>
      <c r="Y7" s="186"/>
      <c r="Z7" s="187"/>
      <c r="AA7" s="123"/>
    </row>
    <row r="8" spans="1:37" s="57" customFormat="1" ht="36" customHeight="1" thickBot="1" x14ac:dyDescent="0.35">
      <c r="A8" s="13"/>
      <c r="B8" s="468" t="s">
        <v>4</v>
      </c>
      <c r="C8" s="469"/>
      <c r="D8" s="469"/>
      <c r="E8" s="470"/>
      <c r="F8" s="470"/>
      <c r="G8" s="196" t="s">
        <v>75</v>
      </c>
      <c r="H8" s="196"/>
      <c r="I8" s="196"/>
      <c r="J8" s="121" t="s">
        <v>154</v>
      </c>
      <c r="K8" s="15"/>
      <c r="L8" s="196" t="s">
        <v>5</v>
      </c>
      <c r="M8" s="196"/>
      <c r="N8" s="56"/>
      <c r="O8" s="56"/>
      <c r="P8" s="56"/>
      <c r="Q8" s="196" t="s">
        <v>6</v>
      </c>
      <c r="R8" s="196"/>
      <c r="S8" s="196"/>
      <c r="T8" s="196"/>
      <c r="U8" s="56"/>
      <c r="V8" s="196" t="s">
        <v>145</v>
      </c>
      <c r="W8" s="196"/>
      <c r="X8" s="196"/>
      <c r="Y8" s="196"/>
      <c r="Z8" s="368"/>
      <c r="AA8" s="369"/>
      <c r="AD8" s="57" t="s">
        <v>130</v>
      </c>
    </row>
    <row r="9" spans="1:37" s="16" customFormat="1" ht="24" customHeight="1" thickBot="1" x14ac:dyDescent="0.3">
      <c r="A9" s="13"/>
      <c r="B9" s="378" t="s">
        <v>7</v>
      </c>
      <c r="C9" s="379"/>
      <c r="D9" s="370" t="s">
        <v>8</v>
      </c>
      <c r="E9" s="371"/>
      <c r="F9" s="371"/>
      <c r="G9" s="372"/>
      <c r="H9" s="17">
        <v>29</v>
      </c>
      <c r="I9" s="373"/>
      <c r="J9" s="374"/>
      <c r="K9" s="374"/>
      <c r="L9" s="374"/>
      <c r="M9" s="375"/>
      <c r="N9" s="18" t="s">
        <v>9</v>
      </c>
      <c r="O9" s="19">
        <v>30</v>
      </c>
      <c r="P9" s="166"/>
      <c r="Q9" s="166"/>
      <c r="R9" s="166"/>
      <c r="S9" s="166"/>
      <c r="T9" s="166"/>
      <c r="U9" s="166"/>
      <c r="V9" s="167" t="s">
        <v>10</v>
      </c>
      <c r="W9" s="167"/>
      <c r="X9" s="19">
        <v>31</v>
      </c>
      <c r="Y9" s="168"/>
      <c r="Z9" s="168"/>
      <c r="AA9" s="168"/>
      <c r="AD9" s="81">
        <f>AD6*5040</f>
        <v>237207600</v>
      </c>
    </row>
    <row r="10" spans="1:37" s="16" customFormat="1" ht="29.1" customHeight="1" thickBot="1" x14ac:dyDescent="0.3">
      <c r="A10" s="73"/>
      <c r="B10" s="138" t="s">
        <v>156</v>
      </c>
      <c r="C10" s="141" t="s">
        <v>11</v>
      </c>
      <c r="D10" s="142"/>
      <c r="E10" s="142"/>
      <c r="F10" s="142"/>
      <c r="G10" s="142" t="s">
        <v>12</v>
      </c>
      <c r="H10" s="142"/>
      <c r="I10" s="142"/>
      <c r="J10" s="142"/>
      <c r="K10" s="142"/>
      <c r="L10" s="142"/>
      <c r="M10" s="143" t="s">
        <v>157</v>
      </c>
      <c r="N10" s="143"/>
      <c r="O10" s="143"/>
      <c r="P10" s="143"/>
      <c r="Q10" s="143"/>
      <c r="R10" s="143"/>
      <c r="S10" s="143"/>
      <c r="T10" s="143" t="s">
        <v>13</v>
      </c>
      <c r="U10" s="143"/>
      <c r="V10" s="143"/>
      <c r="W10" s="143"/>
      <c r="X10" s="143" t="s">
        <v>14</v>
      </c>
      <c r="Y10" s="143"/>
      <c r="Z10" s="143"/>
      <c r="AA10" s="143"/>
      <c r="AD10" s="16" t="s">
        <v>131</v>
      </c>
    </row>
    <row r="11" spans="1:37" s="16" customFormat="1" ht="25.05" customHeight="1" x14ac:dyDescent="0.25">
      <c r="A11" s="73"/>
      <c r="B11" s="139"/>
      <c r="C11" s="144" t="s">
        <v>15</v>
      </c>
      <c r="D11" s="145"/>
      <c r="E11" s="145"/>
      <c r="F11" s="146"/>
      <c r="G11" s="20">
        <v>32</v>
      </c>
      <c r="H11" s="147"/>
      <c r="I11" s="147"/>
      <c r="J11" s="147"/>
      <c r="K11" s="147"/>
      <c r="L11" s="148"/>
      <c r="M11" s="21">
        <v>43</v>
      </c>
      <c r="N11" s="149"/>
      <c r="O11" s="150"/>
      <c r="P11" s="150"/>
      <c r="Q11" s="150"/>
      <c r="R11" s="150"/>
      <c r="S11" s="150"/>
      <c r="T11" s="22">
        <v>58</v>
      </c>
      <c r="U11" s="127"/>
      <c r="V11" s="128"/>
      <c r="W11" s="129"/>
      <c r="X11" s="22">
        <v>74</v>
      </c>
      <c r="Y11" s="127"/>
      <c r="Z11" s="128"/>
      <c r="AA11" s="129"/>
      <c r="AD11" s="81">
        <f>ROUND(AD6*1340,-3)</f>
        <v>63067000</v>
      </c>
    </row>
    <row r="12" spans="1:37" s="16" customFormat="1" ht="25.05" customHeight="1" x14ac:dyDescent="0.25">
      <c r="A12" s="73"/>
      <c r="B12" s="139"/>
      <c r="C12" s="130" t="s">
        <v>16</v>
      </c>
      <c r="D12" s="131"/>
      <c r="E12" s="131"/>
      <c r="F12" s="132"/>
      <c r="G12" s="58"/>
      <c r="H12" s="133"/>
      <c r="I12" s="133"/>
      <c r="J12" s="133"/>
      <c r="K12" s="133"/>
      <c r="L12" s="133"/>
      <c r="M12" s="59"/>
      <c r="N12" s="134"/>
      <c r="O12" s="134"/>
      <c r="P12" s="134"/>
      <c r="Q12" s="134"/>
      <c r="R12" s="134"/>
      <c r="S12" s="134"/>
      <c r="T12" s="59"/>
      <c r="U12" s="134"/>
      <c r="V12" s="134"/>
      <c r="W12" s="134"/>
      <c r="X12" s="23">
        <v>75</v>
      </c>
      <c r="Y12" s="135"/>
      <c r="Z12" s="136"/>
      <c r="AA12" s="137"/>
    </row>
    <row r="13" spans="1:37" s="16" customFormat="1" ht="25.05" customHeight="1" x14ac:dyDescent="0.25">
      <c r="A13" s="73"/>
      <c r="B13" s="139"/>
      <c r="C13" s="151" t="s">
        <v>17</v>
      </c>
      <c r="D13" s="152"/>
      <c r="E13" s="152"/>
      <c r="F13" s="153"/>
      <c r="G13" s="24">
        <v>33</v>
      </c>
      <c r="H13" s="154"/>
      <c r="I13" s="155"/>
      <c r="J13" s="155"/>
      <c r="K13" s="155"/>
      <c r="L13" s="156"/>
      <c r="M13" s="21">
        <v>44</v>
      </c>
      <c r="N13" s="157"/>
      <c r="O13" s="150"/>
      <c r="P13" s="150"/>
      <c r="Q13" s="150"/>
      <c r="R13" s="150"/>
      <c r="S13" s="150"/>
      <c r="T13" s="25">
        <v>59</v>
      </c>
      <c r="U13" s="158"/>
      <c r="V13" s="150"/>
      <c r="W13" s="159"/>
      <c r="X13" s="25">
        <v>76</v>
      </c>
      <c r="Y13" s="158"/>
      <c r="Z13" s="150"/>
      <c r="AA13" s="159"/>
    </row>
    <row r="14" spans="1:37" s="16" customFormat="1" ht="25.05" customHeight="1" thickBot="1" x14ac:dyDescent="0.3">
      <c r="B14" s="139"/>
      <c r="C14" s="130" t="s">
        <v>18</v>
      </c>
      <c r="D14" s="131"/>
      <c r="E14" s="131"/>
      <c r="F14" s="132"/>
      <c r="G14" s="60"/>
      <c r="H14" s="133"/>
      <c r="I14" s="133"/>
      <c r="J14" s="133"/>
      <c r="K14" s="133"/>
      <c r="L14" s="160"/>
      <c r="M14" s="26">
        <v>45</v>
      </c>
      <c r="N14" s="197"/>
      <c r="O14" s="136"/>
      <c r="P14" s="136"/>
      <c r="Q14" s="136"/>
      <c r="R14" s="136"/>
      <c r="S14" s="136"/>
      <c r="T14" s="23">
        <v>60</v>
      </c>
      <c r="U14" s="135"/>
      <c r="V14" s="136"/>
      <c r="W14" s="137"/>
      <c r="X14" s="23">
        <v>77</v>
      </c>
      <c r="Y14" s="135"/>
      <c r="Z14" s="136"/>
      <c r="AA14" s="137"/>
    </row>
    <row r="15" spans="1:37" s="16" customFormat="1" ht="25.05" customHeight="1" thickBot="1" x14ac:dyDescent="0.3">
      <c r="B15" s="139"/>
      <c r="C15" s="198" t="s">
        <v>19</v>
      </c>
      <c r="D15" s="199"/>
      <c r="E15" s="199"/>
      <c r="F15" s="200"/>
      <c r="G15" s="27">
        <v>34</v>
      </c>
      <c r="H15" s="201">
        <f>H11-H13</f>
        <v>0</v>
      </c>
      <c r="I15" s="201"/>
      <c r="J15" s="201"/>
      <c r="K15" s="201"/>
      <c r="L15" s="202"/>
      <c r="M15" s="28">
        <v>46</v>
      </c>
      <c r="N15" s="203">
        <f>N11-N13-N14</f>
        <v>0</v>
      </c>
      <c r="O15" s="204"/>
      <c r="P15" s="204"/>
      <c r="Q15" s="204"/>
      <c r="R15" s="204"/>
      <c r="S15" s="204"/>
      <c r="T15" s="29">
        <v>61</v>
      </c>
      <c r="U15" s="205">
        <f>U11-U13-U14</f>
        <v>0</v>
      </c>
      <c r="V15" s="204"/>
      <c r="W15" s="206"/>
      <c r="X15" s="29">
        <v>78</v>
      </c>
      <c r="Y15" s="205">
        <f>IF(Y11-Y12-Y13-Y14&gt;0,Y11-Y12-Y13-Y14,0)</f>
        <v>0</v>
      </c>
      <c r="Z15" s="204"/>
      <c r="AA15" s="206"/>
      <c r="AD15" s="435" t="s">
        <v>76</v>
      </c>
      <c r="AE15" s="368"/>
      <c r="AF15" s="368"/>
      <c r="AG15" s="369"/>
      <c r="AH15" s="84"/>
      <c r="AI15" s="84"/>
      <c r="AJ15" s="84"/>
      <c r="AK15" s="84"/>
    </row>
    <row r="16" spans="1:37" s="16" customFormat="1" ht="25.05" customHeight="1" thickBot="1" x14ac:dyDescent="0.3">
      <c r="B16" s="139"/>
      <c r="C16" s="207" t="s">
        <v>20</v>
      </c>
      <c r="D16" s="208"/>
      <c r="E16" s="208"/>
      <c r="F16" s="209"/>
      <c r="G16" s="58"/>
      <c r="H16" s="210"/>
      <c r="I16" s="210"/>
      <c r="J16" s="210"/>
      <c r="K16" s="210"/>
      <c r="L16" s="210"/>
      <c r="M16" s="61"/>
      <c r="N16" s="211"/>
      <c r="O16" s="211"/>
      <c r="P16" s="211"/>
      <c r="Q16" s="211"/>
      <c r="R16" s="211"/>
      <c r="S16" s="211"/>
      <c r="T16" s="30">
        <v>62</v>
      </c>
      <c r="U16" s="212"/>
      <c r="V16" s="213"/>
      <c r="W16" s="214"/>
      <c r="X16" s="30">
        <v>79</v>
      </c>
      <c r="Y16" s="212"/>
      <c r="Z16" s="213"/>
      <c r="AA16" s="214"/>
      <c r="AD16" s="16" t="s">
        <v>137</v>
      </c>
      <c r="AG16" s="16">
        <v>53</v>
      </c>
      <c r="AH16" s="16">
        <v>69</v>
      </c>
      <c r="AI16" s="16">
        <v>86</v>
      </c>
    </row>
    <row r="17" spans="1:35" s="16" customFormat="1" ht="25.05" customHeight="1" x14ac:dyDescent="0.25">
      <c r="B17" s="139"/>
      <c r="C17" s="225" t="s">
        <v>21</v>
      </c>
      <c r="D17" s="228" t="s">
        <v>146</v>
      </c>
      <c r="E17" s="229"/>
      <c r="F17" s="230"/>
      <c r="G17" s="31">
        <v>35</v>
      </c>
      <c r="H17" s="155"/>
      <c r="I17" s="155"/>
      <c r="J17" s="155"/>
      <c r="K17" s="155"/>
      <c r="L17" s="156"/>
      <c r="M17" s="32">
        <v>47</v>
      </c>
      <c r="N17" s="231"/>
      <c r="O17" s="150"/>
      <c r="P17" s="150"/>
      <c r="Q17" s="150"/>
      <c r="R17" s="150"/>
      <c r="S17" s="159"/>
      <c r="T17" s="22">
        <v>63</v>
      </c>
      <c r="U17" s="127"/>
      <c r="V17" s="128"/>
      <c r="W17" s="129"/>
      <c r="X17" s="22">
        <v>80</v>
      </c>
      <c r="Y17" s="127"/>
      <c r="Z17" s="128"/>
      <c r="AA17" s="129"/>
      <c r="AD17" s="16" t="s">
        <v>132</v>
      </c>
      <c r="AG17" s="83" t="s">
        <v>136</v>
      </c>
      <c r="AH17" s="83" t="s">
        <v>138</v>
      </c>
      <c r="AI17" s="83" t="s">
        <v>139</v>
      </c>
    </row>
    <row r="18" spans="1:35" s="16" customFormat="1" ht="25.05" customHeight="1" x14ac:dyDescent="0.25">
      <c r="B18" s="139"/>
      <c r="C18" s="226"/>
      <c r="D18" s="232" t="s">
        <v>22</v>
      </c>
      <c r="E18" s="131"/>
      <c r="F18" s="132"/>
      <c r="G18" s="33">
        <v>36</v>
      </c>
      <c r="H18" s="233"/>
      <c r="I18" s="233"/>
      <c r="J18" s="233"/>
      <c r="K18" s="233"/>
      <c r="L18" s="234"/>
      <c r="M18" s="34">
        <v>48</v>
      </c>
      <c r="N18" s="136"/>
      <c r="O18" s="136"/>
      <c r="P18" s="136"/>
      <c r="Q18" s="136"/>
      <c r="R18" s="136"/>
      <c r="S18" s="136"/>
      <c r="T18" s="23">
        <v>64</v>
      </c>
      <c r="U18" s="135"/>
      <c r="V18" s="136"/>
      <c r="W18" s="137"/>
      <c r="X18" s="23">
        <v>81</v>
      </c>
      <c r="Y18" s="135"/>
      <c r="Z18" s="136"/>
      <c r="AA18" s="137"/>
      <c r="AD18" s="16" t="s">
        <v>133</v>
      </c>
      <c r="AG18" s="82">
        <f>N19+N22</f>
        <v>0</v>
      </c>
      <c r="AH18" s="82">
        <f>U19+U22</f>
        <v>0</v>
      </c>
      <c r="AI18" s="82">
        <f>Y19+Y22</f>
        <v>0</v>
      </c>
    </row>
    <row r="19" spans="1:35" s="16" customFormat="1" ht="25.05" customHeight="1" thickBot="1" x14ac:dyDescent="0.3">
      <c r="B19" s="139"/>
      <c r="C19" s="227"/>
      <c r="D19" s="215" t="s">
        <v>23</v>
      </c>
      <c r="E19" s="216"/>
      <c r="F19" s="217"/>
      <c r="G19" s="35">
        <v>37</v>
      </c>
      <c r="H19" s="218">
        <f>H17+H18</f>
        <v>0</v>
      </c>
      <c r="I19" s="218"/>
      <c r="J19" s="218"/>
      <c r="K19" s="218"/>
      <c r="L19" s="219"/>
      <c r="M19" s="36">
        <v>49</v>
      </c>
      <c r="N19" s="220">
        <f>N17+N18</f>
        <v>0</v>
      </c>
      <c r="O19" s="220"/>
      <c r="P19" s="220"/>
      <c r="Q19" s="220"/>
      <c r="R19" s="220"/>
      <c r="S19" s="221"/>
      <c r="T19" s="37">
        <v>65</v>
      </c>
      <c r="U19" s="222">
        <f>U17+U18</f>
        <v>0</v>
      </c>
      <c r="V19" s="223"/>
      <c r="W19" s="224"/>
      <c r="X19" s="38">
        <v>82</v>
      </c>
      <c r="Y19" s="223">
        <f>+Y17+Y18</f>
        <v>0</v>
      </c>
      <c r="Z19" s="223"/>
      <c r="AA19" s="224"/>
      <c r="AE19" s="16" t="s">
        <v>134</v>
      </c>
      <c r="AF19" s="16" t="s">
        <v>141</v>
      </c>
      <c r="AG19" s="85">
        <f>AD11-H23</f>
        <v>63067000</v>
      </c>
      <c r="AH19" s="85">
        <f>AD11-H23-N23</f>
        <v>63067000</v>
      </c>
      <c r="AI19" s="85">
        <f>AD11-H23-N23-U23</f>
        <v>63067000</v>
      </c>
    </row>
    <row r="20" spans="1:35" s="16" customFormat="1" ht="25.05" customHeight="1" x14ac:dyDescent="0.25">
      <c r="B20" s="139"/>
      <c r="C20" s="241" t="s">
        <v>24</v>
      </c>
      <c r="D20" s="244" t="s">
        <v>25</v>
      </c>
      <c r="E20" s="245"/>
      <c r="F20" s="246"/>
      <c r="G20" s="39">
        <v>38</v>
      </c>
      <c r="H20" s="233"/>
      <c r="I20" s="233"/>
      <c r="J20" s="233"/>
      <c r="K20" s="233"/>
      <c r="L20" s="233"/>
      <c r="M20" s="34">
        <v>50</v>
      </c>
      <c r="N20" s="136"/>
      <c r="O20" s="136"/>
      <c r="P20" s="136"/>
      <c r="Q20" s="136"/>
      <c r="R20" s="136"/>
      <c r="S20" s="247"/>
      <c r="T20" s="40">
        <v>66</v>
      </c>
      <c r="U20" s="248"/>
      <c r="V20" s="248"/>
      <c r="W20" s="249"/>
      <c r="X20" s="41">
        <v>83</v>
      </c>
      <c r="Y20" s="136"/>
      <c r="Z20" s="136"/>
      <c r="AA20" s="136"/>
      <c r="AB20" s="42"/>
      <c r="AE20" s="16" t="s">
        <v>135</v>
      </c>
    </row>
    <row r="21" spans="1:35" s="16" customFormat="1" ht="25.05" customHeight="1" x14ac:dyDescent="0.25">
      <c r="B21" s="139"/>
      <c r="C21" s="242"/>
      <c r="D21" s="151" t="s">
        <v>77</v>
      </c>
      <c r="E21" s="152"/>
      <c r="F21" s="250"/>
      <c r="G21" s="43">
        <v>39</v>
      </c>
      <c r="H21" s="155"/>
      <c r="I21" s="155"/>
      <c r="J21" s="155"/>
      <c r="K21" s="155"/>
      <c r="L21" s="155"/>
      <c r="M21" s="32">
        <v>51</v>
      </c>
      <c r="N21" s="150"/>
      <c r="O21" s="150"/>
      <c r="P21" s="150"/>
      <c r="Q21" s="150"/>
      <c r="R21" s="150"/>
      <c r="S21" s="251"/>
      <c r="T21" s="32">
        <v>67</v>
      </c>
      <c r="U21" s="150"/>
      <c r="V21" s="150"/>
      <c r="W21" s="251"/>
      <c r="X21" s="44">
        <v>84</v>
      </c>
      <c r="Y21" s="150"/>
      <c r="Z21" s="150"/>
      <c r="AA21" s="150"/>
      <c r="AB21" s="42"/>
    </row>
    <row r="22" spans="1:35" s="16" customFormat="1" ht="25.05" customHeight="1" thickBot="1" x14ac:dyDescent="0.3">
      <c r="B22" s="139"/>
      <c r="C22" s="243"/>
      <c r="D22" s="235" t="s">
        <v>26</v>
      </c>
      <c r="E22" s="236"/>
      <c r="F22" s="237"/>
      <c r="G22" s="45">
        <v>40</v>
      </c>
      <c r="H22" s="238">
        <f>H20+H21</f>
        <v>0</v>
      </c>
      <c r="I22" s="238"/>
      <c r="J22" s="238"/>
      <c r="K22" s="238"/>
      <c r="L22" s="238"/>
      <c r="M22" s="46">
        <v>52</v>
      </c>
      <c r="N22" s="239">
        <f>N20+N21</f>
        <v>0</v>
      </c>
      <c r="O22" s="239"/>
      <c r="P22" s="239"/>
      <c r="Q22" s="239"/>
      <c r="R22" s="239"/>
      <c r="S22" s="240"/>
      <c r="T22" s="46">
        <v>68</v>
      </c>
      <c r="U22" s="239">
        <f>U20+U21</f>
        <v>0</v>
      </c>
      <c r="V22" s="239"/>
      <c r="W22" s="240"/>
      <c r="X22" s="47">
        <v>85</v>
      </c>
      <c r="Y22" s="239">
        <f>Y20+Y21</f>
        <v>0</v>
      </c>
      <c r="Z22" s="239"/>
      <c r="AA22" s="239"/>
      <c r="AB22" s="42"/>
    </row>
    <row r="23" spans="1:35" s="16" customFormat="1" ht="25.05" customHeight="1" x14ac:dyDescent="0.25">
      <c r="A23" s="16">
        <v>63067000</v>
      </c>
      <c r="B23" s="139"/>
      <c r="C23" s="256" t="s">
        <v>147</v>
      </c>
      <c r="D23" s="257"/>
      <c r="E23" s="257"/>
      <c r="F23" s="258"/>
      <c r="G23" s="35">
        <v>41</v>
      </c>
      <c r="H23" s="201">
        <f>MIN(H17+H22,(H11-H17)*0.4,5040*$AD$6,H11-H17,1340*$AD$6)</f>
        <v>0</v>
      </c>
      <c r="I23" s="201"/>
      <c r="J23" s="201"/>
      <c r="K23" s="201"/>
      <c r="L23" s="201"/>
      <c r="M23" s="48">
        <v>53</v>
      </c>
      <c r="N23" s="259" cm="1">
        <f t="array" ref="N23">_xlfn.IFS(N19+N22&gt;AD11,AD11-H23,
AND(N19+N22&lt;AD11,AG18+H23&gt;=$AD$11),AG19,
AND(N19+N22&lt;AD11,AG18+H23&lt;$AD$11),N19+N22)</f>
        <v>0</v>
      </c>
      <c r="O23" s="204"/>
      <c r="P23" s="204"/>
      <c r="Q23" s="204"/>
      <c r="R23" s="204"/>
      <c r="S23" s="260"/>
      <c r="T23" s="49">
        <v>69</v>
      </c>
      <c r="U23" s="259" cm="1">
        <f t="array" ref="U23">_xlfn.IFS(U19+U22&gt;AD11,AD11-H23-N23,
AND(U19+U22&lt;AD11,AH18+H23+N23&gt;=$AD$11),AH19,
AND(U19+U22&lt;AD11,AH18+H23+N23&lt;$AD$11),U19+U22)</f>
        <v>0</v>
      </c>
      <c r="V23" s="204"/>
      <c r="W23" s="260"/>
      <c r="X23" s="50">
        <v>86</v>
      </c>
      <c r="Y23" s="261" cm="1">
        <f t="array" ref="Y23">_xlfn.IFS(Y19+Y22&gt;$AD$11,$AD$11-H23-N23-U23,
AND(Y19+Y22&lt;AD11,AI18+H23+N23+U23&gt;=$AD$11),AI19,
AND(Y19+Y22&lt;AD11,AI18+H23+N23+U23&lt;$AD$11),Y19+Y22)</f>
        <v>0</v>
      </c>
      <c r="Z23" s="204"/>
      <c r="AA23" s="204"/>
      <c r="AB23" s="42"/>
      <c r="AC23" s="82">
        <f>MIN(N17+N22,(N11-N17)*0.4,5040*$AD$6,N11-N17,1340*$AD$6)-H23</f>
        <v>0</v>
      </c>
      <c r="AD23" s="16" t="s">
        <v>140</v>
      </c>
    </row>
    <row r="24" spans="1:35" s="16" customFormat="1" ht="25.05" customHeight="1" x14ac:dyDescent="0.25">
      <c r="B24" s="139"/>
      <c r="C24" s="262" t="s">
        <v>78</v>
      </c>
      <c r="D24" s="263"/>
      <c r="E24" s="263"/>
      <c r="F24" s="264"/>
      <c r="G24" s="253"/>
      <c r="H24" s="253"/>
      <c r="I24" s="253"/>
      <c r="J24" s="253"/>
      <c r="K24" s="253"/>
      <c r="L24" s="253"/>
      <c r="M24" s="51">
        <v>54</v>
      </c>
      <c r="N24" s="265">
        <f>IF(N11-N13-N14-N23&gt;0,N11-N13-N14-N23,0)</f>
        <v>0</v>
      </c>
      <c r="O24" s="265"/>
      <c r="P24" s="265"/>
      <c r="Q24" s="265"/>
      <c r="R24" s="265"/>
      <c r="S24" s="266"/>
      <c r="T24" s="51">
        <v>70</v>
      </c>
      <c r="U24" s="265">
        <f>IFERROR(IF(U11+U16-U13-U14-U23&gt;0,U11+U16-U13-U14-U23,0),0)</f>
        <v>0</v>
      </c>
      <c r="V24" s="265"/>
      <c r="W24" s="266"/>
      <c r="X24" s="52">
        <v>87</v>
      </c>
      <c r="Y24" s="265">
        <f>IF(Y11+Y16-Y12-Y13-Y14-Y23&gt;0,Y11+Y16-Y12-Y13-Y14-Y23,0)</f>
        <v>0</v>
      </c>
      <c r="Z24" s="265"/>
      <c r="AA24" s="265"/>
      <c r="AB24" s="42"/>
    </row>
    <row r="25" spans="1:35" s="16" customFormat="1" ht="25.05" customHeight="1" x14ac:dyDescent="0.25">
      <c r="B25" s="139"/>
      <c r="C25" s="383" t="s">
        <v>79</v>
      </c>
      <c r="D25" s="305"/>
      <c r="E25" s="305"/>
      <c r="F25" s="200"/>
      <c r="G25" s="253"/>
      <c r="H25" s="253"/>
      <c r="I25" s="253"/>
      <c r="J25" s="253"/>
      <c r="K25" s="253"/>
      <c r="L25" s="253"/>
      <c r="M25" s="49">
        <v>55</v>
      </c>
      <c r="N25" s="204">
        <f>IF(N13+N14-N11&gt;N11,N13+N14-N11,0)</f>
        <v>0</v>
      </c>
      <c r="O25" s="204"/>
      <c r="P25" s="204"/>
      <c r="Q25" s="204"/>
      <c r="R25" s="204"/>
      <c r="S25" s="260"/>
      <c r="T25" s="49">
        <v>71</v>
      </c>
      <c r="U25" s="204">
        <f>IF(U13+U14-U11-U16&gt;0,U13+U14-U11-U16,0)</f>
        <v>0</v>
      </c>
      <c r="V25" s="204"/>
      <c r="W25" s="260"/>
      <c r="X25" s="50">
        <v>88</v>
      </c>
      <c r="Y25" s="204">
        <f>IF(Y12+Y13+Y14-Y11-Y16&gt;0,Y12+Y13+Y14-Y11-Y16,0)</f>
        <v>0</v>
      </c>
      <c r="Z25" s="204"/>
      <c r="AA25" s="204"/>
      <c r="AB25" s="42"/>
    </row>
    <row r="26" spans="1:35" s="16" customFormat="1" ht="25.05" customHeight="1" x14ac:dyDescent="0.25">
      <c r="B26" s="139"/>
      <c r="C26" s="130" t="s">
        <v>80</v>
      </c>
      <c r="D26" s="313"/>
      <c r="E26" s="313"/>
      <c r="F26" s="382"/>
      <c r="G26" s="253"/>
      <c r="H26" s="253"/>
      <c r="I26" s="253"/>
      <c r="J26" s="253"/>
      <c r="K26" s="253"/>
      <c r="L26" s="253"/>
      <c r="M26" s="34">
        <v>56</v>
      </c>
      <c r="N26" s="136"/>
      <c r="O26" s="136"/>
      <c r="P26" s="136"/>
      <c r="Q26" s="136"/>
      <c r="R26" s="136"/>
      <c r="S26" s="247"/>
      <c r="T26" s="34">
        <v>72</v>
      </c>
      <c r="U26" s="136"/>
      <c r="V26" s="136"/>
      <c r="W26" s="247"/>
      <c r="X26" s="41">
        <v>89</v>
      </c>
      <c r="Y26" s="136"/>
      <c r="Z26" s="136"/>
      <c r="AA26" s="136"/>
      <c r="AB26" s="42"/>
    </row>
    <row r="27" spans="1:35" s="16" customFormat="1" ht="25.05" customHeight="1" thickBot="1" x14ac:dyDescent="0.3">
      <c r="B27" s="139"/>
      <c r="C27" s="215" t="s">
        <v>27</v>
      </c>
      <c r="D27" s="216"/>
      <c r="E27" s="216"/>
      <c r="F27" s="200"/>
      <c r="G27" s="53">
        <v>42</v>
      </c>
      <c r="H27" s="201">
        <f>H15-H23</f>
        <v>0</v>
      </c>
      <c r="I27" s="201"/>
      <c r="J27" s="201"/>
      <c r="K27" s="201"/>
      <c r="L27" s="201"/>
      <c r="M27" s="36">
        <v>57</v>
      </c>
      <c r="N27" s="220">
        <f>IF(N24-N26&gt;N26,N24-N26,0)</f>
        <v>0</v>
      </c>
      <c r="O27" s="220"/>
      <c r="P27" s="220"/>
      <c r="Q27" s="220"/>
      <c r="R27" s="220"/>
      <c r="S27" s="252"/>
      <c r="T27" s="36">
        <v>73</v>
      </c>
      <c r="U27" s="220">
        <f>IF(U24-U26&gt;0,U24-U26,0)</f>
        <v>0</v>
      </c>
      <c r="V27" s="220"/>
      <c r="W27" s="252"/>
      <c r="X27" s="54">
        <v>90</v>
      </c>
      <c r="Y27" s="204">
        <f>Y24-Y26</f>
        <v>0</v>
      </c>
      <c r="Z27" s="204"/>
      <c r="AA27" s="204"/>
      <c r="AB27" s="42"/>
    </row>
    <row r="28" spans="1:35" s="16" customFormat="1" ht="25.05" customHeight="1" thickBot="1" x14ac:dyDescent="0.3">
      <c r="B28" s="139"/>
      <c r="C28" s="263" t="s">
        <v>28</v>
      </c>
      <c r="D28" s="384"/>
      <c r="E28" s="88">
        <v>91</v>
      </c>
      <c r="F28" s="393">
        <f>H23+H27+N23+N27+U23+U27+Y23+Y27</f>
        <v>0</v>
      </c>
      <c r="G28" s="394"/>
      <c r="H28" s="394"/>
      <c r="I28" s="395"/>
      <c r="J28" s="385" t="s">
        <v>81</v>
      </c>
      <c r="K28" s="386"/>
      <c r="L28" s="89">
        <v>92</v>
      </c>
      <c r="M28" s="387">
        <f>Z8+H23+N23+U23+Y23+M48</f>
        <v>0</v>
      </c>
      <c r="N28" s="388"/>
      <c r="O28" s="389"/>
      <c r="P28" s="390" t="s">
        <v>29</v>
      </c>
      <c r="Q28" s="391"/>
      <c r="R28" s="392"/>
      <c r="S28" s="89">
        <v>93</v>
      </c>
      <c r="T28" s="465">
        <f>F28-M28</f>
        <v>0</v>
      </c>
      <c r="U28" s="466"/>
      <c r="V28" s="467"/>
      <c r="W28" s="254" t="s">
        <v>82</v>
      </c>
      <c r="X28" s="255"/>
      <c r="Y28" s="90">
        <v>94</v>
      </c>
      <c r="Z28" s="380"/>
      <c r="AA28" s="381"/>
      <c r="AB28" s="42"/>
      <c r="AF28" s="16" t="s">
        <v>143</v>
      </c>
      <c r="AG28" s="16" t="s">
        <v>144</v>
      </c>
    </row>
    <row r="29" spans="1:35" s="16" customFormat="1" ht="27" customHeight="1" thickBot="1" x14ac:dyDescent="0.3">
      <c r="B29" s="140"/>
      <c r="C29" s="276" t="s">
        <v>155</v>
      </c>
      <c r="D29" s="277"/>
      <c r="E29" s="91">
        <v>95</v>
      </c>
      <c r="F29" s="396"/>
      <c r="G29" s="397"/>
      <c r="H29" s="397"/>
      <c r="I29" s="398"/>
      <c r="J29" s="278" t="s">
        <v>30</v>
      </c>
      <c r="K29" s="279"/>
      <c r="L29" s="92">
        <v>96</v>
      </c>
      <c r="M29" s="280"/>
      <c r="N29" s="281"/>
      <c r="O29" s="282"/>
      <c r="P29" s="283" t="s">
        <v>31</v>
      </c>
      <c r="Q29" s="284"/>
      <c r="R29" s="285"/>
      <c r="S29" s="93">
        <v>97</v>
      </c>
      <c r="T29" s="462">
        <f>T28+M29-Z28-F29</f>
        <v>0</v>
      </c>
      <c r="U29" s="463"/>
      <c r="V29" s="464"/>
      <c r="W29" s="460" t="s">
        <v>32</v>
      </c>
      <c r="X29" s="461"/>
      <c r="Y29" s="94">
        <v>98</v>
      </c>
      <c r="Z29" s="376"/>
      <c r="AA29" s="377"/>
      <c r="AC29" s="16">
        <v>7932933000</v>
      </c>
      <c r="AF29" s="85">
        <f>T29/AD6</f>
        <v>0</v>
      </c>
      <c r="AG29" s="16">
        <f>IFERROR(Z29/AD6,"")</f>
        <v>0</v>
      </c>
    </row>
    <row r="30" spans="1:35" s="16" customFormat="1" ht="25.05" customHeight="1" thickBot="1" x14ac:dyDescent="0.3">
      <c r="B30" s="314" t="s">
        <v>33</v>
      </c>
      <c r="C30" s="361"/>
      <c r="D30" s="363" t="s">
        <v>34</v>
      </c>
      <c r="E30" s="313"/>
      <c r="F30" s="313"/>
      <c r="G30" s="313"/>
      <c r="H30" s="313"/>
      <c r="I30" s="313"/>
      <c r="J30" s="313"/>
      <c r="K30" s="95">
        <v>99</v>
      </c>
      <c r="L30" s="273"/>
      <c r="M30" s="274"/>
      <c r="N30" s="274"/>
      <c r="O30" s="275"/>
      <c r="P30" s="355" t="s">
        <v>37</v>
      </c>
      <c r="Q30" s="405" t="s">
        <v>38</v>
      </c>
      <c r="R30" s="407" t="s">
        <v>142</v>
      </c>
      <c r="S30" s="408"/>
      <c r="T30" s="408"/>
      <c r="U30" s="408"/>
      <c r="V30" s="409"/>
      <c r="W30" s="96">
        <v>116</v>
      </c>
      <c r="X30" s="364" cm="1">
        <f t="array" ref="X30">ROUND(IF(T29&gt;Z29,
_xlfn.IFS(AF29&lt;1090,0,
AF29&lt;1700,((AF29-1090)*19%)*$AD$6,
AF29&lt;4100,((AF29-1700)*28%+116)*$AD$6,
AF29&lt;8670,((AF29-4100)*33%+788)*$AD$6,
AF29&lt;18970,((AF29-8670)*35%+2296)*$AD$6,
AF29&lt;31000,((AF29-18970)*37%+5901)*$AD$6,
AF29&gt;31000,((AF29-31000)*39%+10352)*$AD$6),0),-3)</f>
        <v>0</v>
      </c>
      <c r="Y30" s="365"/>
      <c r="Z30" s="365"/>
      <c r="AA30" s="366"/>
      <c r="AB30" s="42"/>
    </row>
    <row r="31" spans="1:35" s="16" customFormat="1" ht="25.05" customHeight="1" thickBot="1" x14ac:dyDescent="0.3">
      <c r="B31" s="362"/>
      <c r="C31" s="361"/>
      <c r="D31" s="288" t="s">
        <v>36</v>
      </c>
      <c r="E31" s="288"/>
      <c r="F31" s="288"/>
      <c r="G31" s="288"/>
      <c r="H31" s="288"/>
      <c r="I31" s="288"/>
      <c r="J31" s="288"/>
      <c r="K31" s="97">
        <v>100</v>
      </c>
      <c r="L31" s="289"/>
      <c r="M31" s="290"/>
      <c r="N31" s="290"/>
      <c r="O31" s="291"/>
      <c r="P31" s="356"/>
      <c r="Q31" s="406"/>
      <c r="R31" s="292" t="s">
        <v>94</v>
      </c>
      <c r="S31" s="297"/>
      <c r="T31" s="297"/>
      <c r="U31" s="297"/>
      <c r="V31" s="298"/>
      <c r="W31" s="98">
        <v>117</v>
      </c>
      <c r="X31" s="422" cm="1">
        <f t="array" ref="X31">ROUND(IF(T29&lt;Z29,
_xlfn.IFS(AG29&lt;1090,0,
AG29&lt;1700,((AG29-1090)*19%)*$AD$6,
AG29&lt;4100,((AG29-1700)*28%+116)*$AD$6,
AG29&lt;8670,((AG29-4100)*33%+788)*$AD$6,
AG29&lt;18970,((AG29-8670)*35%+2296)*$AD$6,
AG29&lt;31000,((AG29-18970)*37%+5901)*$AD$6,
AG29&gt;31000,((AG29-31000)*39%+10352)*$AD$6),0),-3)</f>
        <v>0</v>
      </c>
      <c r="Y31" s="423"/>
      <c r="Z31" s="423"/>
      <c r="AA31" s="424"/>
      <c r="AB31" s="42"/>
    </row>
    <row r="32" spans="1:35" s="16" customFormat="1" ht="25.05" customHeight="1" thickBot="1" x14ac:dyDescent="0.3">
      <c r="B32" s="362"/>
      <c r="C32" s="361"/>
      <c r="D32" s="263" t="s">
        <v>19</v>
      </c>
      <c r="E32" s="263"/>
      <c r="F32" s="263"/>
      <c r="G32" s="263"/>
      <c r="H32" s="263"/>
      <c r="I32" s="263"/>
      <c r="J32" s="263"/>
      <c r="K32" s="99">
        <v>101</v>
      </c>
      <c r="L32" s="267">
        <f>L30+L31</f>
        <v>0</v>
      </c>
      <c r="M32" s="268"/>
      <c r="N32" s="268"/>
      <c r="O32" s="269"/>
      <c r="P32" s="356"/>
      <c r="Q32" s="406"/>
      <c r="R32" s="270" t="s">
        <v>95</v>
      </c>
      <c r="S32" s="271"/>
      <c r="T32" s="271"/>
      <c r="U32" s="271"/>
      <c r="V32" s="272"/>
      <c r="W32" s="100">
        <v>118</v>
      </c>
      <c r="X32" s="286"/>
      <c r="Y32" s="287"/>
      <c r="Z32" s="287"/>
      <c r="AA32" s="197"/>
      <c r="AB32" s="42"/>
    </row>
    <row r="33" spans="1:28" s="16" customFormat="1" ht="25.05" customHeight="1" thickBot="1" x14ac:dyDescent="0.3">
      <c r="B33" s="362"/>
      <c r="C33" s="361"/>
      <c r="D33" s="288" t="s">
        <v>39</v>
      </c>
      <c r="E33" s="288"/>
      <c r="F33" s="288"/>
      <c r="G33" s="288"/>
      <c r="H33" s="288"/>
      <c r="I33" s="288"/>
      <c r="J33" s="288"/>
      <c r="K33" s="97">
        <v>102</v>
      </c>
      <c r="L33" s="289"/>
      <c r="M33" s="290"/>
      <c r="N33" s="290"/>
      <c r="O33" s="291"/>
      <c r="P33" s="356"/>
      <c r="Q33" s="406"/>
      <c r="R33" s="292" t="s">
        <v>40</v>
      </c>
      <c r="S33" s="293"/>
      <c r="T33" s="293"/>
      <c r="U33" s="293"/>
      <c r="V33" s="294"/>
      <c r="W33" s="98">
        <v>119</v>
      </c>
      <c r="X33" s="295"/>
      <c r="Y33" s="296"/>
      <c r="Z33" s="296"/>
      <c r="AA33" s="157"/>
      <c r="AB33" s="42"/>
    </row>
    <row r="34" spans="1:28" s="16" customFormat="1" ht="25.05" customHeight="1" thickBot="1" x14ac:dyDescent="0.3">
      <c r="B34" s="362"/>
      <c r="C34" s="361"/>
      <c r="D34" s="299" t="s">
        <v>41</v>
      </c>
      <c r="E34" s="299"/>
      <c r="F34" s="299"/>
      <c r="G34" s="299"/>
      <c r="H34" s="299"/>
      <c r="I34" s="299"/>
      <c r="J34" s="299"/>
      <c r="K34" s="101">
        <v>103</v>
      </c>
      <c r="L34" s="300">
        <f>+L32-L33</f>
        <v>0</v>
      </c>
      <c r="M34" s="301"/>
      <c r="N34" s="301"/>
      <c r="O34" s="302"/>
      <c r="P34" s="356"/>
      <c r="Q34" s="406"/>
      <c r="R34" s="270" t="s">
        <v>96</v>
      </c>
      <c r="S34" s="303"/>
      <c r="T34" s="303"/>
      <c r="U34" s="303"/>
      <c r="V34" s="304"/>
      <c r="W34" s="100">
        <v>120</v>
      </c>
      <c r="X34" s="286">
        <f>L40-L41</f>
        <v>0</v>
      </c>
      <c r="Y34" s="287"/>
      <c r="Z34" s="287"/>
      <c r="AA34" s="197"/>
      <c r="AB34" s="42"/>
    </row>
    <row r="35" spans="1:28" s="16" customFormat="1" ht="25.05" customHeight="1" thickBot="1" x14ac:dyDescent="0.3">
      <c r="B35" s="314" t="s">
        <v>83</v>
      </c>
      <c r="C35" s="315"/>
      <c r="D35" s="288" t="s">
        <v>42</v>
      </c>
      <c r="E35" s="288"/>
      <c r="F35" s="288"/>
      <c r="G35" s="288"/>
      <c r="H35" s="288"/>
      <c r="I35" s="288"/>
      <c r="J35" s="288"/>
      <c r="K35" s="97">
        <v>104</v>
      </c>
      <c r="L35" s="318"/>
      <c r="M35" s="319"/>
      <c r="N35" s="319"/>
      <c r="O35" s="320"/>
      <c r="P35" s="356"/>
      <c r="Q35" s="406"/>
      <c r="R35" s="367" t="s">
        <v>43</v>
      </c>
      <c r="S35" s="326"/>
      <c r="T35" s="326"/>
      <c r="U35" s="326"/>
      <c r="V35" s="327"/>
      <c r="W35" s="102">
        <v>121</v>
      </c>
      <c r="X35" s="321">
        <f>SUM(X30:AA34)</f>
        <v>0</v>
      </c>
      <c r="Y35" s="322"/>
      <c r="Z35" s="322"/>
      <c r="AA35" s="203"/>
      <c r="AB35" s="42"/>
    </row>
    <row r="36" spans="1:28" s="16" customFormat="1" ht="29.55" customHeight="1" thickBot="1" x14ac:dyDescent="0.3">
      <c r="B36" s="314"/>
      <c r="C36" s="315"/>
      <c r="D36" s="313" t="s">
        <v>36</v>
      </c>
      <c r="E36" s="313"/>
      <c r="F36" s="313"/>
      <c r="G36" s="313"/>
      <c r="H36" s="313"/>
      <c r="I36" s="313"/>
      <c r="J36" s="313"/>
      <c r="K36" s="103">
        <v>105</v>
      </c>
      <c r="L36" s="273"/>
      <c r="M36" s="274"/>
      <c r="N36" s="274"/>
      <c r="O36" s="275"/>
      <c r="P36" s="356"/>
      <c r="Q36" s="410" t="s">
        <v>97</v>
      </c>
      <c r="R36" s="412" t="s">
        <v>45</v>
      </c>
      <c r="S36" s="413"/>
      <c r="T36" s="104">
        <v>122</v>
      </c>
      <c r="U36" s="414"/>
      <c r="V36" s="415"/>
      <c r="W36" s="417" t="s">
        <v>46</v>
      </c>
      <c r="X36" s="418"/>
      <c r="Y36" s="105">
        <v>123</v>
      </c>
      <c r="Z36" s="429"/>
      <c r="AA36" s="430"/>
      <c r="AB36" s="42"/>
    </row>
    <row r="37" spans="1:28" s="16" customFormat="1" ht="29.55" customHeight="1" thickBot="1" x14ac:dyDescent="0.35">
      <c r="B37" s="314"/>
      <c r="C37" s="315"/>
      <c r="D37" s="305" t="s">
        <v>44</v>
      </c>
      <c r="E37" s="305"/>
      <c r="F37" s="305"/>
      <c r="G37" s="305"/>
      <c r="H37" s="305"/>
      <c r="I37" s="305"/>
      <c r="J37" s="305"/>
      <c r="K37" s="106">
        <v>106</v>
      </c>
      <c r="L37" s="306">
        <f>L35-L36</f>
        <v>0</v>
      </c>
      <c r="M37" s="307"/>
      <c r="N37" s="307"/>
      <c r="O37" s="308"/>
      <c r="P37" s="356"/>
      <c r="Q37" s="411"/>
      <c r="R37" s="309" t="s">
        <v>151</v>
      </c>
      <c r="S37" s="310"/>
      <c r="T37" s="107">
        <v>124</v>
      </c>
      <c r="U37" s="311"/>
      <c r="V37" s="312"/>
      <c r="W37" s="416" t="s">
        <v>47</v>
      </c>
      <c r="X37" s="310"/>
      <c r="Y37" s="108">
        <v>125</v>
      </c>
      <c r="Z37" s="332">
        <f>U36+Z36+U37</f>
        <v>0</v>
      </c>
      <c r="AA37" s="333"/>
      <c r="AB37" s="42"/>
    </row>
    <row r="38" spans="1:28" s="16" customFormat="1" ht="25.05" customHeight="1" thickBot="1" x14ac:dyDescent="0.3">
      <c r="B38" s="314"/>
      <c r="C38" s="315"/>
      <c r="D38" s="313" t="s">
        <v>84</v>
      </c>
      <c r="E38" s="313"/>
      <c r="F38" s="313"/>
      <c r="G38" s="313"/>
      <c r="H38" s="313"/>
      <c r="I38" s="313"/>
      <c r="J38" s="313"/>
      <c r="K38" s="103">
        <v>107</v>
      </c>
      <c r="L38" s="273"/>
      <c r="M38" s="274"/>
      <c r="N38" s="274"/>
      <c r="O38" s="275"/>
      <c r="P38" s="356"/>
      <c r="Q38" s="334" t="s">
        <v>49</v>
      </c>
      <c r="R38" s="334"/>
      <c r="S38" s="334"/>
      <c r="T38" s="334"/>
      <c r="U38" s="334"/>
      <c r="V38" s="335"/>
      <c r="W38" s="109">
        <v>126</v>
      </c>
      <c r="X38" s="419">
        <f>X35-Z37</f>
        <v>0</v>
      </c>
      <c r="Y38" s="420"/>
      <c r="Z38" s="420"/>
      <c r="AA38" s="421"/>
      <c r="AB38" s="42"/>
    </row>
    <row r="39" spans="1:28" s="16" customFormat="1" ht="25.05" customHeight="1" thickBot="1" x14ac:dyDescent="0.3">
      <c r="B39" s="314"/>
      <c r="C39" s="315"/>
      <c r="D39" s="288" t="s">
        <v>48</v>
      </c>
      <c r="E39" s="288"/>
      <c r="F39" s="288"/>
      <c r="G39" s="288"/>
      <c r="H39" s="288"/>
      <c r="I39" s="288"/>
      <c r="J39" s="288"/>
      <c r="K39" s="97">
        <v>108</v>
      </c>
      <c r="L39" s="289"/>
      <c r="M39" s="290"/>
      <c r="N39" s="290"/>
      <c r="O39" s="291"/>
      <c r="P39" s="356"/>
      <c r="Q39" s="326" t="s">
        <v>50</v>
      </c>
      <c r="R39" s="326"/>
      <c r="S39" s="326"/>
      <c r="T39" s="326"/>
      <c r="U39" s="326"/>
      <c r="V39" s="327"/>
      <c r="W39" s="110">
        <v>127</v>
      </c>
      <c r="X39" s="328"/>
      <c r="Y39" s="329"/>
      <c r="Z39" s="329"/>
      <c r="AA39" s="330"/>
      <c r="AB39" s="42"/>
    </row>
    <row r="40" spans="1:28" s="16" customFormat="1" ht="25.05" customHeight="1" thickBot="1" x14ac:dyDescent="0.3">
      <c r="B40" s="314"/>
      <c r="C40" s="315"/>
      <c r="D40" s="313" t="s">
        <v>85</v>
      </c>
      <c r="E40" s="313"/>
      <c r="F40" s="313"/>
      <c r="G40" s="313"/>
      <c r="H40" s="313"/>
      <c r="I40" s="313"/>
      <c r="J40" s="313"/>
      <c r="K40" s="103">
        <v>109</v>
      </c>
      <c r="L40" s="273"/>
      <c r="M40" s="274"/>
      <c r="N40" s="274"/>
      <c r="O40" s="275"/>
      <c r="P40" s="356"/>
      <c r="Q40" s="303" t="s">
        <v>52</v>
      </c>
      <c r="R40" s="303"/>
      <c r="S40" s="303"/>
      <c r="T40" s="303"/>
      <c r="U40" s="303"/>
      <c r="V40" s="304"/>
      <c r="W40" s="111">
        <v>128</v>
      </c>
      <c r="X40" s="323"/>
      <c r="Y40" s="324"/>
      <c r="Z40" s="324"/>
      <c r="AA40" s="325"/>
    </row>
    <row r="41" spans="1:28" s="16" customFormat="1" ht="25.05" customHeight="1" thickBot="1" x14ac:dyDescent="0.3">
      <c r="B41" s="316"/>
      <c r="C41" s="317"/>
      <c r="D41" s="288" t="s">
        <v>51</v>
      </c>
      <c r="E41" s="288"/>
      <c r="F41" s="288"/>
      <c r="G41" s="288"/>
      <c r="H41" s="288"/>
      <c r="I41" s="288"/>
      <c r="J41" s="288"/>
      <c r="K41" s="97">
        <v>110</v>
      </c>
      <c r="L41" s="428"/>
      <c r="M41" s="290"/>
      <c r="N41" s="290"/>
      <c r="O41" s="291"/>
      <c r="P41" s="356"/>
      <c r="Q41" s="326" t="s">
        <v>53</v>
      </c>
      <c r="R41" s="326"/>
      <c r="S41" s="326"/>
      <c r="T41" s="326"/>
      <c r="U41" s="326"/>
      <c r="V41" s="327"/>
      <c r="W41" s="110">
        <v>129</v>
      </c>
      <c r="X41" s="328">
        <f>X38+X39-X40</f>
        <v>0</v>
      </c>
      <c r="Y41" s="329"/>
      <c r="Z41" s="329"/>
      <c r="AA41" s="331"/>
    </row>
    <row r="42" spans="1:28" s="16" customFormat="1" ht="25.05" customHeight="1" thickBot="1" x14ac:dyDescent="0.3">
      <c r="B42" s="475" t="s">
        <v>86</v>
      </c>
      <c r="C42" s="476"/>
      <c r="D42" s="476"/>
      <c r="E42" s="476"/>
      <c r="F42" s="476"/>
      <c r="G42" s="476"/>
      <c r="H42" s="476"/>
      <c r="I42" s="476"/>
      <c r="J42" s="477"/>
      <c r="K42" s="112">
        <v>111</v>
      </c>
      <c r="L42" s="425">
        <f>IF(T29&gt;Z29,T29,Z29)+L34+L38+L39-X32</f>
        <v>0</v>
      </c>
      <c r="M42" s="426"/>
      <c r="N42" s="426"/>
      <c r="O42" s="427"/>
      <c r="P42" s="356"/>
      <c r="Q42" s="303" t="s">
        <v>54</v>
      </c>
      <c r="R42" s="303"/>
      <c r="S42" s="303"/>
      <c r="T42" s="303"/>
      <c r="U42" s="303"/>
      <c r="V42" s="304"/>
      <c r="W42" s="111">
        <v>130</v>
      </c>
      <c r="X42" s="323"/>
      <c r="Y42" s="324"/>
      <c r="Z42" s="324"/>
      <c r="AA42" s="325"/>
    </row>
    <row r="43" spans="1:28" s="16" customFormat="1" ht="25.05" customHeight="1" x14ac:dyDescent="0.25">
      <c r="B43" s="471" t="s">
        <v>148</v>
      </c>
      <c r="C43" s="472"/>
      <c r="D43" s="288" t="s">
        <v>149</v>
      </c>
      <c r="E43" s="288"/>
      <c r="F43" s="288"/>
      <c r="G43" s="288"/>
      <c r="H43" s="288"/>
      <c r="I43" s="288"/>
      <c r="J43" s="288"/>
      <c r="K43" s="97">
        <v>112</v>
      </c>
      <c r="L43" s="289"/>
      <c r="M43" s="290"/>
      <c r="N43" s="290"/>
      <c r="O43" s="291"/>
      <c r="P43" s="356"/>
      <c r="Q43" s="293" t="s">
        <v>55</v>
      </c>
      <c r="R43" s="293"/>
      <c r="S43" s="293"/>
      <c r="T43" s="293"/>
      <c r="U43" s="293"/>
      <c r="V43" s="294"/>
      <c r="W43" s="113">
        <v>131</v>
      </c>
      <c r="X43" s="358"/>
      <c r="Y43" s="359"/>
      <c r="Z43" s="359"/>
      <c r="AA43" s="360"/>
    </row>
    <row r="44" spans="1:28" s="16" customFormat="1" ht="25.05" customHeight="1" x14ac:dyDescent="0.25">
      <c r="B44" s="471"/>
      <c r="C44" s="472"/>
      <c r="D44" s="313" t="s">
        <v>56</v>
      </c>
      <c r="E44" s="313"/>
      <c r="F44" s="313"/>
      <c r="G44" s="313"/>
      <c r="H44" s="313"/>
      <c r="I44" s="313"/>
      <c r="J44" s="313"/>
      <c r="K44" s="103">
        <v>113</v>
      </c>
      <c r="L44" s="273"/>
      <c r="M44" s="274"/>
      <c r="N44" s="274"/>
      <c r="O44" s="275"/>
      <c r="P44" s="356"/>
      <c r="Q44" s="303" t="s">
        <v>98</v>
      </c>
      <c r="R44" s="303"/>
      <c r="S44" s="303"/>
      <c r="T44" s="303"/>
      <c r="U44" s="303"/>
      <c r="V44" s="304"/>
      <c r="W44" s="111">
        <v>132</v>
      </c>
      <c r="X44" s="323"/>
      <c r="Y44" s="324"/>
      <c r="Z44" s="324"/>
      <c r="AA44" s="325"/>
    </row>
    <row r="45" spans="1:28" s="16" customFormat="1" ht="25.05" customHeight="1" thickBot="1" x14ac:dyDescent="0.3">
      <c r="B45" s="471"/>
      <c r="C45" s="472"/>
      <c r="D45" s="288" t="s">
        <v>57</v>
      </c>
      <c r="E45" s="288"/>
      <c r="F45" s="288"/>
      <c r="G45" s="288"/>
      <c r="H45" s="288"/>
      <c r="I45" s="288"/>
      <c r="J45" s="288"/>
      <c r="K45" s="97">
        <v>114</v>
      </c>
      <c r="L45" s="289"/>
      <c r="M45" s="290"/>
      <c r="N45" s="290"/>
      <c r="O45" s="291"/>
      <c r="P45" s="357"/>
      <c r="Q45" s="339" t="s">
        <v>58</v>
      </c>
      <c r="R45" s="340"/>
      <c r="S45" s="340"/>
      <c r="T45" s="340"/>
      <c r="U45" s="340"/>
      <c r="V45" s="341"/>
      <c r="W45" s="113">
        <v>133</v>
      </c>
      <c r="X45" s="342"/>
      <c r="Y45" s="343"/>
      <c r="Z45" s="343"/>
      <c r="AA45" s="344"/>
    </row>
    <row r="46" spans="1:28" s="16" customFormat="1" ht="25.05" customHeight="1" thickBot="1" x14ac:dyDescent="0.3">
      <c r="A46" s="73"/>
      <c r="B46" s="473"/>
      <c r="C46" s="474"/>
      <c r="D46" s="263" t="s">
        <v>35</v>
      </c>
      <c r="E46" s="263"/>
      <c r="F46" s="263"/>
      <c r="G46" s="263"/>
      <c r="H46" s="263"/>
      <c r="I46" s="263"/>
      <c r="J46" s="263"/>
      <c r="K46" s="101">
        <v>115</v>
      </c>
      <c r="L46" s="336">
        <f>L43-L44-L45</f>
        <v>0</v>
      </c>
      <c r="M46" s="337"/>
      <c r="N46" s="337"/>
      <c r="O46" s="338"/>
      <c r="P46" s="352"/>
      <c r="Q46" s="353"/>
      <c r="R46" s="353"/>
      <c r="S46" s="353"/>
      <c r="T46" s="353"/>
      <c r="U46" s="353"/>
      <c r="V46" s="353"/>
      <c r="W46" s="353"/>
      <c r="X46" s="353"/>
      <c r="Y46" s="353"/>
      <c r="Z46" s="353"/>
      <c r="AA46" s="354"/>
    </row>
    <row r="47" spans="1:28" s="16" customFormat="1" ht="25.05" customHeight="1" thickBot="1" x14ac:dyDescent="0.3">
      <c r="A47" s="73"/>
      <c r="B47" s="345" t="s">
        <v>61</v>
      </c>
      <c r="C47" s="345"/>
      <c r="D47" s="345"/>
      <c r="E47" s="55">
        <v>134</v>
      </c>
      <c r="F47" s="478">
        <f>X41+X45-X42-X43-X44</f>
        <v>0</v>
      </c>
      <c r="G47" s="479"/>
      <c r="H47" s="479"/>
      <c r="I47" s="480"/>
      <c r="J47" s="346" t="s">
        <v>59</v>
      </c>
      <c r="K47" s="347"/>
      <c r="L47" s="346"/>
      <c r="M47" s="114">
        <v>135</v>
      </c>
      <c r="N47" s="348"/>
      <c r="O47" s="348"/>
      <c r="P47" s="350" t="s">
        <v>87</v>
      </c>
      <c r="Q47" s="351"/>
      <c r="R47" s="351"/>
      <c r="S47" s="115">
        <v>136</v>
      </c>
      <c r="T47" s="349">
        <f>X41+X45+N47-X42-X43-X44</f>
        <v>0</v>
      </c>
      <c r="U47" s="349"/>
      <c r="V47" s="350" t="s">
        <v>60</v>
      </c>
      <c r="W47" s="351"/>
      <c r="X47" s="351"/>
      <c r="Y47" s="115">
        <v>137</v>
      </c>
      <c r="Z47" s="349">
        <f>IF(X42+X43+X44-X41-X45-N47&gt;0,X42+X43+X44-X41-X45-N47,0)</f>
        <v>0</v>
      </c>
      <c r="AA47" s="349"/>
    </row>
    <row r="48" spans="1:28" s="16" customFormat="1" ht="25.05" customHeight="1" thickBot="1" x14ac:dyDescent="0.3">
      <c r="A48" s="73"/>
      <c r="B48" s="484" t="s">
        <v>150</v>
      </c>
      <c r="C48" s="485"/>
      <c r="D48" s="485"/>
      <c r="E48" s="486"/>
      <c r="F48" s="62">
        <v>138</v>
      </c>
      <c r="G48" s="116"/>
      <c r="H48" s="481" t="s">
        <v>88</v>
      </c>
      <c r="I48" s="482"/>
      <c r="J48" s="482"/>
      <c r="K48" s="483"/>
      <c r="L48" s="117">
        <v>139</v>
      </c>
      <c r="M48" s="487"/>
      <c r="N48" s="488"/>
      <c r="O48" s="399" t="s">
        <v>152</v>
      </c>
      <c r="P48" s="400"/>
      <c r="Q48" s="400"/>
      <c r="R48" s="401"/>
      <c r="S48" s="118">
        <v>140</v>
      </c>
      <c r="T48" s="349"/>
      <c r="U48" s="349"/>
      <c r="V48" s="402" t="s">
        <v>89</v>
      </c>
      <c r="W48" s="403"/>
      <c r="X48" s="404"/>
      <c r="Y48" s="118">
        <v>141</v>
      </c>
      <c r="Z48" s="119"/>
      <c r="AA48" s="120"/>
    </row>
    <row r="49" spans="2:27" s="16" customFormat="1" ht="91.05" customHeight="1" thickBot="1" x14ac:dyDescent="0.3">
      <c r="B49" s="124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6"/>
    </row>
    <row r="50" spans="2:27" s="16" customFormat="1" ht="7.5" customHeight="1" thickBot="1" x14ac:dyDescent="0.3">
      <c r="B50" s="63"/>
      <c r="C50" s="64"/>
      <c r="D50" s="64"/>
      <c r="E50" s="64"/>
      <c r="F50" s="64"/>
      <c r="G50" s="64"/>
      <c r="H50" s="64"/>
      <c r="I50" s="64"/>
      <c r="J50" s="64"/>
      <c r="K50" s="64"/>
      <c r="L50" s="444" t="s">
        <v>72</v>
      </c>
      <c r="M50" s="444"/>
      <c r="N50" s="444"/>
      <c r="O50" s="444"/>
      <c r="P50" s="444"/>
      <c r="Q50" s="444"/>
      <c r="R50" s="444"/>
      <c r="S50" s="444"/>
      <c r="T50" s="63"/>
      <c r="U50" s="64"/>
      <c r="V50" s="64"/>
      <c r="W50" s="64"/>
      <c r="X50" s="64"/>
      <c r="Y50" s="64"/>
      <c r="Z50" s="64"/>
      <c r="AA50" s="69"/>
    </row>
    <row r="51" spans="2:27" ht="34.049999999999997" customHeight="1" thickBot="1" x14ac:dyDescent="0.3">
      <c r="B51" s="441" t="s">
        <v>67</v>
      </c>
      <c r="C51" s="442"/>
      <c r="D51" s="442"/>
      <c r="E51" s="443"/>
      <c r="F51" s="4"/>
      <c r="G51" s="67"/>
      <c r="H51" s="439" t="s">
        <v>90</v>
      </c>
      <c r="I51" s="439"/>
      <c r="J51" s="439"/>
      <c r="K51" s="440"/>
      <c r="L51" s="445"/>
      <c r="M51" s="445"/>
      <c r="N51" s="445"/>
      <c r="O51" s="445"/>
      <c r="P51" s="445"/>
      <c r="Q51" s="445"/>
      <c r="R51" s="445"/>
      <c r="S51" s="445"/>
      <c r="T51" s="453" t="s">
        <v>91</v>
      </c>
      <c r="U51" s="454"/>
      <c r="V51" s="447">
        <v>0</v>
      </c>
      <c r="W51" s="448"/>
      <c r="X51" s="448"/>
      <c r="Y51" s="448"/>
      <c r="Z51" s="449"/>
      <c r="AA51" s="5"/>
    </row>
    <row r="52" spans="2:27" ht="19.5" customHeight="1" thickBot="1" x14ac:dyDescent="0.3">
      <c r="B52" s="6"/>
      <c r="C52" s="7"/>
      <c r="D52" s="7"/>
      <c r="E52" s="7"/>
      <c r="F52" s="7"/>
      <c r="G52" s="7"/>
      <c r="H52" s="7"/>
      <c r="I52" s="7"/>
      <c r="J52" s="7"/>
      <c r="K52" s="8"/>
      <c r="L52" s="445"/>
      <c r="M52" s="445"/>
      <c r="N52" s="445"/>
      <c r="O52" s="445"/>
      <c r="P52" s="445"/>
      <c r="Q52" s="445"/>
      <c r="R52" s="445"/>
      <c r="S52" s="445"/>
      <c r="T52" s="453"/>
      <c r="U52" s="454"/>
      <c r="V52" s="450"/>
      <c r="W52" s="451"/>
      <c r="X52" s="451"/>
      <c r="Y52" s="451"/>
      <c r="Z52" s="452"/>
      <c r="AA52" s="5"/>
    </row>
    <row r="53" spans="2:27" ht="4.5" customHeight="1" thickBot="1" x14ac:dyDescent="0.3">
      <c r="B53" s="65"/>
      <c r="C53" s="66"/>
      <c r="D53" s="66"/>
      <c r="E53" s="66"/>
      <c r="F53" s="66"/>
      <c r="G53" s="66"/>
      <c r="H53" s="66"/>
      <c r="I53" s="66"/>
      <c r="J53" s="66"/>
      <c r="K53" s="68"/>
      <c r="L53" s="445"/>
      <c r="M53" s="445"/>
      <c r="N53" s="445"/>
      <c r="O53" s="445"/>
      <c r="P53" s="445"/>
      <c r="Q53" s="445"/>
      <c r="R53" s="445"/>
      <c r="S53" s="445"/>
      <c r="T53" s="70"/>
      <c r="U53" s="9"/>
      <c r="V53" s="9"/>
      <c r="W53" s="9"/>
      <c r="X53" s="9"/>
      <c r="Y53" s="9"/>
      <c r="Z53" s="9"/>
      <c r="AA53" s="10"/>
    </row>
    <row r="54" spans="2:27" ht="26.25" customHeight="1" thickBot="1" x14ac:dyDescent="0.3">
      <c r="B54" s="441" t="s">
        <v>68</v>
      </c>
      <c r="C54" s="442"/>
      <c r="D54" s="443"/>
      <c r="E54" s="4"/>
      <c r="F54" s="442" t="s">
        <v>70</v>
      </c>
      <c r="G54" s="442"/>
      <c r="H54" s="442" t="s">
        <v>71</v>
      </c>
      <c r="I54" s="442"/>
      <c r="J54" s="443"/>
      <c r="K54" s="4"/>
      <c r="L54" s="445"/>
      <c r="M54" s="445"/>
      <c r="N54" s="445"/>
      <c r="O54" s="445"/>
      <c r="P54" s="445"/>
      <c r="Q54" s="445"/>
      <c r="R54" s="445"/>
      <c r="S54" s="445"/>
      <c r="T54" s="455" t="s">
        <v>92</v>
      </c>
      <c r="U54" s="456"/>
      <c r="V54" s="456"/>
      <c r="W54" s="456"/>
      <c r="X54" s="456"/>
      <c r="Y54" s="456"/>
      <c r="Z54" s="456"/>
      <c r="AA54" s="456"/>
    </row>
    <row r="55" spans="2:27" ht="26.25" customHeight="1" x14ac:dyDescent="0.25">
      <c r="B55" s="86"/>
      <c r="C55" s="87"/>
      <c r="D55" s="87"/>
      <c r="E55" s="87"/>
      <c r="F55" s="87"/>
      <c r="G55" s="87"/>
      <c r="H55" s="87"/>
      <c r="I55" s="87"/>
      <c r="J55" s="87"/>
      <c r="K55" s="87"/>
      <c r="L55" s="445"/>
      <c r="M55" s="445"/>
      <c r="N55" s="445"/>
      <c r="O55" s="445"/>
      <c r="P55" s="445"/>
      <c r="Q55" s="445"/>
      <c r="R55" s="445"/>
      <c r="S55" s="445"/>
      <c r="T55" s="457"/>
      <c r="U55" s="458"/>
      <c r="V55" s="458"/>
      <c r="W55" s="458"/>
      <c r="X55" s="458"/>
      <c r="Y55" s="458"/>
      <c r="Z55" s="458"/>
      <c r="AA55" s="458"/>
    </row>
    <row r="56" spans="2:27" ht="37.5" customHeight="1" thickBot="1" x14ac:dyDescent="0.3">
      <c r="B56" s="6" t="s">
        <v>69</v>
      </c>
      <c r="C56" s="7"/>
      <c r="D56" s="7"/>
      <c r="E56" s="7"/>
      <c r="F56" s="432"/>
      <c r="G56" s="433"/>
      <c r="H56" s="433"/>
      <c r="I56" s="433"/>
      <c r="J56" s="433"/>
      <c r="K56" s="434"/>
      <c r="L56" s="446"/>
      <c r="M56" s="446"/>
      <c r="N56" s="446"/>
      <c r="O56" s="446"/>
      <c r="P56" s="446"/>
      <c r="Q56" s="446"/>
      <c r="R56" s="446"/>
      <c r="S56" s="446"/>
      <c r="T56" s="457"/>
      <c r="U56" s="459"/>
      <c r="V56" s="459"/>
      <c r="W56" s="459"/>
      <c r="X56" s="459"/>
      <c r="Y56" s="459"/>
      <c r="Z56" s="459"/>
      <c r="AA56" s="459"/>
    </row>
  </sheetData>
  <mergeCells count="244">
    <mergeCell ref="Q3:AA3"/>
    <mergeCell ref="F56:K56"/>
    <mergeCell ref="AD15:AG15"/>
    <mergeCell ref="B2:H2"/>
    <mergeCell ref="H51:K51"/>
    <mergeCell ref="B51:E51"/>
    <mergeCell ref="H54:J54"/>
    <mergeCell ref="F54:G54"/>
    <mergeCell ref="B54:D54"/>
    <mergeCell ref="L50:S56"/>
    <mergeCell ref="V51:Z52"/>
    <mergeCell ref="T51:U52"/>
    <mergeCell ref="T54:AA56"/>
    <mergeCell ref="W29:X29"/>
    <mergeCell ref="T29:V29"/>
    <mergeCell ref="T28:V28"/>
    <mergeCell ref="B8:D8"/>
    <mergeCell ref="E8:F8"/>
    <mergeCell ref="B43:C46"/>
    <mergeCell ref="B42:J42"/>
    <mergeCell ref="F47:I47"/>
    <mergeCell ref="H48:K48"/>
    <mergeCell ref="B48:E48"/>
    <mergeCell ref="M48:N48"/>
    <mergeCell ref="O48:R48"/>
    <mergeCell ref="V48:X48"/>
    <mergeCell ref="T48:U48"/>
    <mergeCell ref="Q30:Q35"/>
    <mergeCell ref="R30:V30"/>
    <mergeCell ref="Q36:Q37"/>
    <mergeCell ref="R36:S36"/>
    <mergeCell ref="U36:V36"/>
    <mergeCell ref="W37:X37"/>
    <mergeCell ref="W36:X36"/>
    <mergeCell ref="X38:AA38"/>
    <mergeCell ref="P47:R47"/>
    <mergeCell ref="Z47:AA47"/>
    <mergeCell ref="X31:AA31"/>
    <mergeCell ref="X34:AA34"/>
    <mergeCell ref="L44:O44"/>
    <mergeCell ref="Q44:V44"/>
    <mergeCell ref="X44:AA44"/>
    <mergeCell ref="L42:O42"/>
    <mergeCell ref="Q42:V42"/>
    <mergeCell ref="X42:AA42"/>
    <mergeCell ref="L41:O41"/>
    <mergeCell ref="Q41:V41"/>
    <mergeCell ref="Z36:AA36"/>
    <mergeCell ref="Z29:AA29"/>
    <mergeCell ref="B9:C9"/>
    <mergeCell ref="Z28:AA28"/>
    <mergeCell ref="C26:F26"/>
    <mergeCell ref="C25:F25"/>
    <mergeCell ref="N25:S25"/>
    <mergeCell ref="U25:W25"/>
    <mergeCell ref="Y25:AA25"/>
    <mergeCell ref="N26:S26"/>
    <mergeCell ref="U26:W26"/>
    <mergeCell ref="Y26:AA26"/>
    <mergeCell ref="Y27:AA27"/>
    <mergeCell ref="C28:D28"/>
    <mergeCell ref="J28:K28"/>
    <mergeCell ref="M28:O28"/>
    <mergeCell ref="P28:R28"/>
    <mergeCell ref="H27:L27"/>
    <mergeCell ref="F28:I28"/>
    <mergeCell ref="F29:I29"/>
    <mergeCell ref="N27:S27"/>
    <mergeCell ref="D46:J46"/>
    <mergeCell ref="L46:O46"/>
    <mergeCell ref="Q45:V45"/>
    <mergeCell ref="X45:AA45"/>
    <mergeCell ref="B47:D47"/>
    <mergeCell ref="J47:L47"/>
    <mergeCell ref="N47:O47"/>
    <mergeCell ref="T47:U47"/>
    <mergeCell ref="V47:X47"/>
    <mergeCell ref="D45:J45"/>
    <mergeCell ref="L45:O45"/>
    <mergeCell ref="P46:AA46"/>
    <mergeCell ref="P30:P45"/>
    <mergeCell ref="D43:J43"/>
    <mergeCell ref="L43:O43"/>
    <mergeCell ref="Q43:V43"/>
    <mergeCell ref="X43:AA43"/>
    <mergeCell ref="D44:J44"/>
    <mergeCell ref="B30:C34"/>
    <mergeCell ref="D30:J30"/>
    <mergeCell ref="L30:O30"/>
    <mergeCell ref="X30:AA30"/>
    <mergeCell ref="L36:O36"/>
    <mergeCell ref="R35:V35"/>
    <mergeCell ref="B35:C41"/>
    <mergeCell ref="D35:J35"/>
    <mergeCell ref="L35:O35"/>
    <mergeCell ref="X35:AA35"/>
    <mergeCell ref="D36:J36"/>
    <mergeCell ref="X40:AA40"/>
    <mergeCell ref="D41:J41"/>
    <mergeCell ref="D39:J39"/>
    <mergeCell ref="L39:O39"/>
    <mergeCell ref="Q39:V39"/>
    <mergeCell ref="X39:AA39"/>
    <mergeCell ref="D40:J40"/>
    <mergeCell ref="X41:AA41"/>
    <mergeCell ref="L40:O40"/>
    <mergeCell ref="Q40:V40"/>
    <mergeCell ref="Z37:AA37"/>
    <mergeCell ref="Q38:V38"/>
    <mergeCell ref="D32:J32"/>
    <mergeCell ref="L32:O32"/>
    <mergeCell ref="R32:V32"/>
    <mergeCell ref="L38:O38"/>
    <mergeCell ref="C29:D29"/>
    <mergeCell ref="J29:K29"/>
    <mergeCell ref="M29:O29"/>
    <mergeCell ref="P29:R29"/>
    <mergeCell ref="X32:AA32"/>
    <mergeCell ref="D33:J33"/>
    <mergeCell ref="L33:O33"/>
    <mergeCell ref="R33:V33"/>
    <mergeCell ref="X33:AA33"/>
    <mergeCell ref="D31:J31"/>
    <mergeCell ref="L31:O31"/>
    <mergeCell ref="R31:V31"/>
    <mergeCell ref="D34:J34"/>
    <mergeCell ref="L34:O34"/>
    <mergeCell ref="R34:V34"/>
    <mergeCell ref="D37:J37"/>
    <mergeCell ref="L37:O37"/>
    <mergeCell ref="R37:S37"/>
    <mergeCell ref="U37:V37"/>
    <mergeCell ref="D38:J38"/>
    <mergeCell ref="U27:W27"/>
    <mergeCell ref="C27:F27"/>
    <mergeCell ref="G24:L26"/>
    <mergeCell ref="W28:X28"/>
    <mergeCell ref="C23:F23"/>
    <mergeCell ref="H23:L23"/>
    <mergeCell ref="N23:S23"/>
    <mergeCell ref="U23:W23"/>
    <mergeCell ref="Y23:AA23"/>
    <mergeCell ref="C24:F24"/>
    <mergeCell ref="N24:S24"/>
    <mergeCell ref="U24:W24"/>
    <mergeCell ref="Y24:AA24"/>
    <mergeCell ref="Y21:AA21"/>
    <mergeCell ref="D22:F22"/>
    <mergeCell ref="H22:L22"/>
    <mergeCell ref="N22:S22"/>
    <mergeCell ref="U22:W22"/>
    <mergeCell ref="Y22:AA22"/>
    <mergeCell ref="C20:C22"/>
    <mergeCell ref="D20:F20"/>
    <mergeCell ref="H20:L20"/>
    <mergeCell ref="N20:S20"/>
    <mergeCell ref="U20:W20"/>
    <mergeCell ref="Y20:AA20"/>
    <mergeCell ref="D21:F21"/>
    <mergeCell ref="H21:L21"/>
    <mergeCell ref="N21:S21"/>
    <mergeCell ref="U21:W21"/>
    <mergeCell ref="C16:F16"/>
    <mergeCell ref="H16:L16"/>
    <mergeCell ref="N16:S16"/>
    <mergeCell ref="U16:W16"/>
    <mergeCell ref="Y16:AA16"/>
    <mergeCell ref="Y18:AA18"/>
    <mergeCell ref="D19:F19"/>
    <mergeCell ref="H19:L19"/>
    <mergeCell ref="N19:S19"/>
    <mergeCell ref="U19:W19"/>
    <mergeCell ref="Y19:AA19"/>
    <mergeCell ref="C17:C19"/>
    <mergeCell ref="D17:F17"/>
    <mergeCell ref="H17:L17"/>
    <mergeCell ref="N17:S17"/>
    <mergeCell ref="U17:W17"/>
    <mergeCell ref="Y17:AA17"/>
    <mergeCell ref="D18:F18"/>
    <mergeCell ref="H18:L18"/>
    <mergeCell ref="N18:S18"/>
    <mergeCell ref="U18:W18"/>
    <mergeCell ref="V8:Y8"/>
    <mergeCell ref="N14:S14"/>
    <mergeCell ref="U14:W14"/>
    <mergeCell ref="Y14:AA14"/>
    <mergeCell ref="C15:F15"/>
    <mergeCell ref="H15:L15"/>
    <mergeCell ref="N15:S15"/>
    <mergeCell ref="U15:W15"/>
    <mergeCell ref="Y15:AA15"/>
    <mergeCell ref="Z8:AA8"/>
    <mergeCell ref="D9:G9"/>
    <mergeCell ref="G8:I8"/>
    <mergeCell ref="I9:M9"/>
    <mergeCell ref="H14:L14"/>
    <mergeCell ref="B4:C4"/>
    <mergeCell ref="J2:S2"/>
    <mergeCell ref="P9:U9"/>
    <mergeCell ref="V9:W9"/>
    <mergeCell ref="Y9:AA9"/>
    <mergeCell ref="B6:C7"/>
    <mergeCell ref="X6:Z6"/>
    <mergeCell ref="Y2:AA2"/>
    <mergeCell ref="U2:X2"/>
    <mergeCell ref="B5:P5"/>
    <mergeCell ref="H3:P4"/>
    <mergeCell ref="D7:K7"/>
    <mergeCell ref="M7:O7"/>
    <mergeCell ref="P7:S7"/>
    <mergeCell ref="T7:W7"/>
    <mergeCell ref="X7:Z7"/>
    <mergeCell ref="T6:W6"/>
    <mergeCell ref="P6:S6"/>
    <mergeCell ref="M6:O6"/>
    <mergeCell ref="D6:K6"/>
    <mergeCell ref="Q4:AA5"/>
    <mergeCell ref="L8:M8"/>
    <mergeCell ref="Q8:T8"/>
    <mergeCell ref="AA6:AA7"/>
    <mergeCell ref="B49:AA49"/>
    <mergeCell ref="Y11:AA11"/>
    <mergeCell ref="C12:F12"/>
    <mergeCell ref="H12:L12"/>
    <mergeCell ref="N12:S12"/>
    <mergeCell ref="U12:W12"/>
    <mergeCell ref="Y12:AA12"/>
    <mergeCell ref="B10:B29"/>
    <mergeCell ref="C10:F10"/>
    <mergeCell ref="G10:L10"/>
    <mergeCell ref="M10:S10"/>
    <mergeCell ref="T10:W10"/>
    <mergeCell ref="X10:AA10"/>
    <mergeCell ref="C11:F11"/>
    <mergeCell ref="H11:L11"/>
    <mergeCell ref="N11:S11"/>
    <mergeCell ref="U11:W11"/>
    <mergeCell ref="C13:F13"/>
    <mergeCell ref="H13:L13"/>
    <mergeCell ref="N13:S13"/>
    <mergeCell ref="U13:W13"/>
    <mergeCell ref="Y13:AA13"/>
    <mergeCell ref="C14:F14"/>
  </mergeCells>
  <phoneticPr fontId="26" type="noConversion"/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3634-F1D6-4405-B1D3-02DEC740DFFD}">
  <dimension ref="C2:E31"/>
  <sheetViews>
    <sheetView workbookViewId="0">
      <selection activeCell="E15" sqref="E15"/>
    </sheetView>
  </sheetViews>
  <sheetFormatPr baseColWidth="10" defaultColWidth="10.77734375" defaultRowHeight="14.4" x14ac:dyDescent="0.3"/>
  <sheetData>
    <row r="2" spans="3:5" x14ac:dyDescent="0.3">
      <c r="D2" s="77">
        <v>110</v>
      </c>
      <c r="E2" s="78" t="s">
        <v>99</v>
      </c>
    </row>
    <row r="3" spans="3:5" x14ac:dyDescent="0.3">
      <c r="C3" s="76" t="e" vm="1">
        <v>#VALUE!</v>
      </c>
      <c r="D3" s="77">
        <v>120</v>
      </c>
      <c r="E3" s="75" t="s">
        <v>100</v>
      </c>
    </row>
    <row r="4" spans="3:5" x14ac:dyDescent="0.3">
      <c r="C4" s="76" t="e" vm="1">
        <v>#VALUE!</v>
      </c>
      <c r="D4" s="77">
        <v>150</v>
      </c>
      <c r="E4" s="75" t="s">
        <v>101</v>
      </c>
    </row>
    <row r="5" spans="3:5" x14ac:dyDescent="0.3">
      <c r="C5" s="76" t="e" vm="1">
        <v>#VALUE!</v>
      </c>
      <c r="D5" s="77">
        <v>160</v>
      </c>
      <c r="E5" s="75" t="s">
        <v>102</v>
      </c>
    </row>
    <row r="6" spans="3:5" x14ac:dyDescent="0.3">
      <c r="C6" s="76" t="e" vm="1">
        <v>#VALUE!</v>
      </c>
      <c r="D6" s="77">
        <v>210</v>
      </c>
      <c r="E6" s="75" t="s">
        <v>103</v>
      </c>
    </row>
    <row r="7" spans="3:5" x14ac:dyDescent="0.3">
      <c r="C7" s="76" t="e" vm="1">
        <v>#VALUE!</v>
      </c>
      <c r="D7" s="77">
        <v>220</v>
      </c>
      <c r="E7" s="75" t="s">
        <v>104</v>
      </c>
    </row>
    <row r="8" spans="3:5" x14ac:dyDescent="0.3">
      <c r="C8" s="76" t="e" vm="1">
        <v>#VALUE!</v>
      </c>
      <c r="D8" s="77">
        <v>2593</v>
      </c>
      <c r="E8" s="75" t="s">
        <v>105</v>
      </c>
    </row>
    <row r="9" spans="3:5" x14ac:dyDescent="0.3">
      <c r="C9" s="76" t="e" vm="1">
        <v>#VALUE!</v>
      </c>
      <c r="D9" s="77">
        <v>260</v>
      </c>
      <c r="E9" s="75" t="s">
        <v>106</v>
      </c>
    </row>
    <row r="10" spans="3:5" x14ac:dyDescent="0.3">
      <c r="C10" s="76" t="e" vm="1">
        <v>#VALUE!</v>
      </c>
      <c r="D10" s="74">
        <v>260</v>
      </c>
      <c r="E10" s="75" t="s">
        <v>107</v>
      </c>
    </row>
    <row r="11" spans="3:5" x14ac:dyDescent="0.3">
      <c r="C11" s="76" t="e" vm="1">
        <v>#VALUE!</v>
      </c>
      <c r="D11" s="77">
        <v>300</v>
      </c>
      <c r="E11" s="75" t="s">
        <v>108</v>
      </c>
    </row>
    <row r="12" spans="3:5" x14ac:dyDescent="0.3">
      <c r="C12" s="76" t="e" vm="1">
        <v>#VALUE!</v>
      </c>
      <c r="D12" s="77">
        <v>310</v>
      </c>
      <c r="E12" s="75" t="s">
        <v>109</v>
      </c>
    </row>
    <row r="13" spans="3:5" x14ac:dyDescent="0.3">
      <c r="C13" s="76" t="e" vm="1">
        <v>#VALUE!</v>
      </c>
      <c r="D13" s="74">
        <v>325</v>
      </c>
      <c r="E13" s="75" t="s">
        <v>110</v>
      </c>
    </row>
    <row r="14" spans="3:5" x14ac:dyDescent="0.3">
      <c r="C14" s="76" t="e" vm="1">
        <v>#VALUE!</v>
      </c>
      <c r="D14" s="79">
        <v>330</v>
      </c>
      <c r="E14" s="75" t="s">
        <v>111</v>
      </c>
    </row>
    <row r="15" spans="3:5" x14ac:dyDescent="0.3">
      <c r="C15" s="76" t="e" vm="1">
        <v>#VALUE!</v>
      </c>
      <c r="D15" s="79">
        <v>335</v>
      </c>
      <c r="E15" s="75" t="s">
        <v>112</v>
      </c>
    </row>
    <row r="16" spans="3:5" x14ac:dyDescent="0.3">
      <c r="C16" s="76" t="e" vm="1">
        <v>#VALUE!</v>
      </c>
      <c r="D16" s="79">
        <v>340</v>
      </c>
      <c r="E16" s="75" t="s">
        <v>113</v>
      </c>
    </row>
    <row r="17" spans="3:5" x14ac:dyDescent="0.3">
      <c r="C17" s="76" t="e" vm="1">
        <v>#VALUE!</v>
      </c>
      <c r="D17" s="77">
        <v>350</v>
      </c>
      <c r="E17" s="75" t="s">
        <v>114</v>
      </c>
    </row>
    <row r="18" spans="3:5" x14ac:dyDescent="0.3">
      <c r="C18" s="76" t="e" vm="1">
        <v>#VALUE!</v>
      </c>
      <c r="D18" s="74">
        <v>350</v>
      </c>
      <c r="E18" s="75" t="s">
        <v>115</v>
      </c>
    </row>
    <row r="19" spans="3:5" x14ac:dyDescent="0.3">
      <c r="C19" s="76" t="e" vm="1">
        <v>#VALUE!</v>
      </c>
      <c r="D19" s="74">
        <v>400</v>
      </c>
      <c r="E19" s="75" t="s">
        <v>116</v>
      </c>
    </row>
    <row r="20" spans="3:5" x14ac:dyDescent="0.3">
      <c r="C20" s="76" t="e" vm="1">
        <v>#VALUE!</v>
      </c>
      <c r="D20" s="77">
        <v>410</v>
      </c>
      <c r="E20" s="75" t="s">
        <v>117</v>
      </c>
    </row>
    <row r="21" spans="3:5" x14ac:dyDescent="0.3">
      <c r="C21" s="76" t="e" vm="1">
        <v>#VALUE!</v>
      </c>
      <c r="D21" s="79">
        <v>420</v>
      </c>
      <c r="E21" s="75" t="s">
        <v>118</v>
      </c>
    </row>
    <row r="22" spans="3:5" x14ac:dyDescent="0.3">
      <c r="C22" s="76" t="e" vm="1">
        <v>#VALUE!</v>
      </c>
      <c r="D22" s="79">
        <v>430</v>
      </c>
      <c r="E22" s="75" t="s">
        <v>119</v>
      </c>
    </row>
    <row r="23" spans="3:5" x14ac:dyDescent="0.3">
      <c r="C23" s="76" t="e" vm="1">
        <v>#VALUE!</v>
      </c>
      <c r="D23" s="77">
        <v>435</v>
      </c>
      <c r="E23" s="75" t="s">
        <v>120</v>
      </c>
    </row>
    <row r="24" spans="3:5" x14ac:dyDescent="0.3">
      <c r="C24" s="76" t="e" vm="1">
        <v>#VALUE!</v>
      </c>
      <c r="D24" s="74">
        <v>490</v>
      </c>
      <c r="E24" s="75" t="s">
        <v>121</v>
      </c>
    </row>
    <row r="25" spans="3:5" x14ac:dyDescent="0.3">
      <c r="C25" s="76" t="e" vm="1">
        <v>#VALUE!</v>
      </c>
      <c r="D25" s="74">
        <v>500</v>
      </c>
      <c r="E25" s="75" t="s">
        <v>122</v>
      </c>
    </row>
    <row r="26" spans="3:5" x14ac:dyDescent="0.3">
      <c r="C26" s="76" t="e" vm="1">
        <v>#VALUE!</v>
      </c>
      <c r="D26" s="79">
        <v>505</v>
      </c>
      <c r="E26" s="75" t="s">
        <v>123</v>
      </c>
    </row>
    <row r="27" spans="3:5" x14ac:dyDescent="0.3">
      <c r="C27" s="76" t="e" vm="1">
        <v>#VALUE!</v>
      </c>
      <c r="D27" s="74">
        <v>510</v>
      </c>
      <c r="E27" s="75" t="s">
        <v>124</v>
      </c>
    </row>
    <row r="28" spans="3:5" x14ac:dyDescent="0.3">
      <c r="C28" s="76" t="e" vm="1">
        <v>#VALUE!</v>
      </c>
      <c r="D28" s="74">
        <v>520</v>
      </c>
      <c r="E28" s="75" t="s">
        <v>125</v>
      </c>
    </row>
    <row r="29" spans="3:5" x14ac:dyDescent="0.3">
      <c r="C29" s="76" t="e" vm="1">
        <v>#VALUE!</v>
      </c>
      <c r="D29" s="74">
        <v>530</v>
      </c>
      <c r="E29" s="75" t="s">
        <v>126</v>
      </c>
    </row>
    <row r="30" spans="3:5" x14ac:dyDescent="0.3">
      <c r="C30" s="76" t="e" vm="1">
        <v>#VALUE!</v>
      </c>
      <c r="D30" s="77">
        <v>532</v>
      </c>
      <c r="E30" s="75" t="s">
        <v>127</v>
      </c>
    </row>
    <row r="31" spans="3:5" x14ac:dyDescent="0.3">
      <c r="C31" s="76" t="e" vm="1">
        <v>#VALUE!</v>
      </c>
      <c r="D31" s="74">
        <v>534</v>
      </c>
      <c r="E31" s="75" t="s">
        <v>128</v>
      </c>
    </row>
  </sheetData>
  <hyperlinks>
    <hyperlink ref="E2" r:id="rId1" display="https://www.dian.gov.co/atencionciudadano/formulariosinstructivos/Formularios/2024/Formulario_110_2024.pdf" xr:uid="{F4D7759E-B74F-48E2-AC47-99EC7AA00A58}"/>
    <hyperlink ref="E3" r:id="rId2" display="https://www.dian.gov.co/atencionciudadano/formulariosinstructivos/Formularios/2024/Formulario_120_2024.pdf" xr:uid="{DAB96E3D-4B0A-4C94-9F71-4349364225DD}"/>
    <hyperlink ref="E4" r:id="rId3" display="https://www.dian.gov.co/atencionciudadano/formulariosinstructivos/Formularios/2024/Formulario_150_2024.pdf" xr:uid="{0B2775AE-FE59-4323-9C09-822CEE2A8AF8}"/>
    <hyperlink ref="E5" r:id="rId4" display="https://www.dian.gov.co/atencionciudadano/formulariosinstructivos/Formularios/2024/Formulario_160_2024.pdf" xr:uid="{574F506A-4870-4656-B850-63316F73DB47}"/>
    <hyperlink ref="E6" r:id="rId5" display="https://www.dian.gov.co/atencionciudadano/formulariosinstructivos/Formularios/2024/Formulario_210_2024.pdf" xr:uid="{874744E3-5BE5-4C16-9875-2DFB35FAE506}"/>
    <hyperlink ref="E7" r:id="rId6" display="https://www.dian.gov.co/atencionciudadano/formulariosinstructivos/Formularios/2024/Formulario_220_2024.pdf" xr:uid="{9104BF3A-28AE-4DFD-A258-177F353D88C8}"/>
    <hyperlink ref="E8" r:id="rId7" display="https://www.dian.gov.co/atencionciudadano/formulariosinstructivos/Formularios/2024/Formulario_2593_2024.pdf" xr:uid="{E1B0AE18-01CB-4989-AE44-96ED1EA1502D}"/>
    <hyperlink ref="E9" r:id="rId8" display="https://www.dian.gov.co/atencionciudadano/formulariosinstructivos/Formularios/2024/Formulario_260_2024.pdf" xr:uid="{AAD38DB4-64B9-4E5D-87B4-3A619133E722}"/>
    <hyperlink ref="E10" r:id="rId9" display="https://www.dian.gov.co/atencionciudadano/formulariosinstructivos/Formularios/2024/Formulario_260_2024-2.pdf" xr:uid="{26A8E33B-49D1-41EB-B14B-70DD2E8E4F60}"/>
    <hyperlink ref="E11" r:id="rId10" display="https://www.dian.gov.co/atencionciudadano/formulariosinstructivos/Formularios/2024/Formulario_300_2024.pdf" xr:uid="{9FFB3954-658F-42BC-9F40-398ED7C0E808}"/>
    <hyperlink ref="E12" r:id="rId11" display="https://www.dian.gov.co/atencionciudadano/formulariosinstructivos/Formularios/2024/Formulario_310_2024.pdf" xr:uid="{8EC81C92-0837-4F70-95AC-028F86EAEAEB}"/>
    <hyperlink ref="E13" r:id="rId12" display="https://www.dian.gov.co/atencionciudadano/formulariosinstructivos/Formularios/2024/Formulario_325_2024.pdf" xr:uid="{CB5AEB63-B721-4E5A-B1FD-8DFFAC943E51}"/>
    <hyperlink ref="E14" r:id="rId13" display="https://www.dian.gov.co/atencionciudadano/formulariosinstructivos/Formularios/2024/Formulario_330_2024.pdf" xr:uid="{6DF1B3A1-A3B3-49B2-BE59-66F9000BDAEA}"/>
    <hyperlink ref="E15" r:id="rId14" display="https://www.dian.gov.co/atencionciudadano/formulariosinstructivos/Formularios/2024/Formulario_335_2024.pdf" xr:uid="{3B69CE79-3B81-4EFA-9B06-C589ADF9A5C0}"/>
    <hyperlink ref="E16" r:id="rId15" display="https://www.dian.gov.co/atencionciudadano/formulariosinstructivos/Formularios/2024/Formulario_340_2024.pdf" xr:uid="{2EE67BB0-550B-42FE-A631-543720B9E72C}"/>
    <hyperlink ref="E17" r:id="rId16" display="https://www.dian.gov.co/atencionciudadano/formulariosinstructivos/Formularios/2024/Formulario_350_2024.pdf" xr:uid="{20DB03F0-D182-46A4-8325-587AFF5F0A8B}"/>
    <hyperlink ref="E18" r:id="rId17" display="https://www.dian.gov.co/atencionciudadano/formulariosinstructivos/Formularios/2024/Formulario_350_01082024.pdf" xr:uid="{93AD09C0-3F67-45C4-8F68-73260A82F7AA}"/>
    <hyperlink ref="E19" r:id="rId18" display="https://www.dian.gov.co/atencionciudadano/formulariosinstructivos/Formularios/2024/Formulario_400_2024.pdf" xr:uid="{8162728E-951C-41C0-AB59-673350ECF27C}"/>
    <hyperlink ref="E20" r:id="rId19" display="https://www.dian.gov.co/atencionciudadano/formulariosinstructivos/Formularios/2024/Formulario_410_2024.pdf" xr:uid="{DC8E83B9-9C6E-40FA-840C-CF515A3B68DF}"/>
    <hyperlink ref="E21" r:id="rId20" display="https://www.dian.gov.co/atencionciudadano/formulariosinstructivos/Formularios/2024/Formulario_420_2024.pdf" xr:uid="{CD414373-95BB-46C0-B295-2B7C51D94EF4}"/>
    <hyperlink ref="E22" r:id="rId21" display="https://www.dian.gov.co/atencionciudadano/formulariosinstructivos/Formularios/2024/Formulario_430_2024.pdf" xr:uid="{9C42D03B-7891-4F15-8458-07728B5CAC07}"/>
    <hyperlink ref="E23" r:id="rId22" display="https://www.dian.gov.co/atencionciudadano/formulariosinstructivos/Formularios/2024/Formulario_435_2024.pdf" xr:uid="{1BB6584E-76FA-4569-A698-92946B913B8B}"/>
    <hyperlink ref="E24" r:id="rId23" display="https://www.dian.gov.co/atencionciudadano/formulariosinstructivos/Formularios/2024/Formulario_490_2024.pdf" xr:uid="{9B7E3E3D-9B30-4291-9A4F-6619B85FF6FD}"/>
    <hyperlink ref="E25" r:id="rId24" display="https://www.dian.gov.co/atencionciudadano/formulariosinstructivos/Formularios/2024/Formulario_500_2024.pdf" xr:uid="{D66E73BC-B846-4738-A163-A4EFCED2F0A4}"/>
    <hyperlink ref="E26" r:id="rId25" display="https://www.dian.gov.co/atencionciudadano/formulariosinstructivos/Formularios/2024/Formulario_505_2024.pdf" xr:uid="{BA33541C-7B58-4141-9A04-993A7F6852D3}"/>
    <hyperlink ref="E27" r:id="rId26" display="https://www.dian.gov.co/atencionciudadano/formulariosinstructivos/Formularios/2024/Formulario_510_2024.pdf" xr:uid="{279DA2DD-D98B-412E-B5D8-AAD59F4B5800}"/>
    <hyperlink ref="E28" r:id="rId27" display="https://www.dian.gov.co/atencionciudadano/formulariosinstructivos/Formularios/2024/Formulario_520_2024.pdf" xr:uid="{83E16ED3-B0D6-4324-A728-83C45B51FD14}"/>
    <hyperlink ref="E29" r:id="rId28" display="https://www.dian.gov.co/atencionciudadano/formulariosinstructivos/Formularios/2024/Formulario_530_2024.pdf" xr:uid="{3836829E-F368-437A-ADC4-C0011C19B548}"/>
    <hyperlink ref="E30" r:id="rId29" display="https://www.dian.gov.co/atencionciudadano/formulariosinstructivos/Formularios/2024/Formulario_532_2024.pdf" xr:uid="{B318950E-EDEA-4F5A-AC13-EC2458F5C05F}"/>
    <hyperlink ref="E31" r:id="rId30" display="https://www.dian.gov.co/atencionciudadano/formulariosinstructivos/Formularios/2024/Formulario_534_2024.pdf" xr:uid="{D9DFB625-BD9F-4D22-A503-60A3C39FC5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210</vt:lpstr>
      <vt:lpstr>Hoja1</vt:lpstr>
      <vt:lpstr>BG_UVT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</cp:lastModifiedBy>
  <dcterms:created xsi:type="dcterms:W3CDTF">2021-04-28T14:15:58Z</dcterms:created>
  <dcterms:modified xsi:type="dcterms:W3CDTF">2025-07-15T20:11:14Z</dcterms:modified>
</cp:coreProperties>
</file>