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rmular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_ ;_ * \-#,##0_ ;_ * &quot;-&quot;_ ;_ @_ "/>
    <numFmt numFmtId="166" formatCode="_ * #,##0.0000_ ;_ * \-#,##0.0000_ ;_ * &quot;-&quot;??_ ;_ @_ "/>
  </numFmts>
  <fonts count="28">
    <font>
      <name val="Arial"/>
      <color rgb="FF000000"/>
      <sz val="10"/>
      <scheme val="minor"/>
    </font>
    <font>
      <name val="Arial"/>
      <family val="2"/>
      <color rgb="FF000000"/>
      <sz val="12"/>
      <scheme val="major"/>
    </font>
    <font>
      <name val="Arial"/>
      <family val="2"/>
      <b val="1"/>
      <color rgb="FF000000"/>
      <sz val="12"/>
      <scheme val="major"/>
    </font>
    <font>
      <name val="Arial"/>
      <family val="2"/>
      <color rgb="FF000000"/>
      <sz val="11"/>
      <scheme val="major"/>
    </font>
    <font>
      <name val="Arial"/>
      <family val="2"/>
      <b val="1"/>
      <color theme="1"/>
      <sz val="7"/>
      <scheme val="major"/>
    </font>
    <font>
      <name val="Arial"/>
      <family val="2"/>
      <color theme="1"/>
      <sz val="7"/>
      <scheme val="major"/>
    </font>
    <font>
      <name val="Arial"/>
      <family val="2"/>
      <color rgb="FF000090"/>
      <sz val="10"/>
      <scheme val="major"/>
    </font>
    <font>
      <name val="Arial"/>
      <family val="2"/>
      <color rgb="FF000000"/>
      <sz val="10"/>
      <scheme val="major"/>
    </font>
    <font>
      <name val="Arial"/>
      <family val="2"/>
      <color theme="1"/>
      <sz val="10"/>
      <scheme val="major"/>
    </font>
    <font>
      <name val="Arial"/>
      <family val="2"/>
      <sz val="10"/>
      <scheme val="major"/>
    </font>
    <font>
      <name val="Arial"/>
      <family val="2"/>
      <b val="1"/>
      <color rgb="FF366092"/>
      <sz val="14"/>
      <scheme val="major"/>
    </font>
    <font>
      <name val="Arial"/>
      <family val="2"/>
      <sz val="14"/>
      <scheme val="major"/>
    </font>
    <font>
      <name val="Arial"/>
      <family val="2"/>
      <color theme="1"/>
      <sz val="12"/>
      <scheme val="major"/>
    </font>
    <font>
      <name val="Arial"/>
      <family val="2"/>
      <color theme="1"/>
      <sz val="16"/>
      <scheme val="major"/>
    </font>
    <font>
      <name val="Arial"/>
      <family val="2"/>
      <b val="1"/>
      <color rgb="FF000000"/>
      <sz val="16"/>
      <scheme val="major"/>
    </font>
    <font>
      <name val="Arial"/>
      <family val="2"/>
      <b val="1"/>
      <color theme="1"/>
      <sz val="16"/>
      <scheme val="major"/>
    </font>
    <font>
      <name val="Arial"/>
      <family val="2"/>
      <color rgb="FF000000"/>
      <sz val="16"/>
      <scheme val="major"/>
    </font>
    <font>
      <name val="Arial"/>
      <family val="2"/>
      <b val="1"/>
      <color theme="1"/>
      <sz val="14"/>
      <scheme val="major"/>
    </font>
    <font>
      <name val="Arial"/>
      <family val="2"/>
      <color theme="1"/>
      <sz val="14"/>
      <scheme val="major"/>
    </font>
    <font>
      <name val="Arial"/>
      <family val="2"/>
      <b val="1"/>
      <color theme="1"/>
      <sz val="18"/>
      <scheme val="major"/>
    </font>
    <font>
      <name val="Arial"/>
      <family val="2"/>
      <b val="1"/>
      <color theme="1"/>
      <sz val="12"/>
      <scheme val="major"/>
    </font>
    <font>
      <name val="Arial"/>
      <family val="2"/>
      <b val="1"/>
      <color theme="1"/>
      <sz val="9"/>
      <scheme val="major"/>
    </font>
    <font>
      <name val="Arial"/>
      <family val="2"/>
      <color theme="1"/>
      <sz val="9"/>
      <scheme val="major"/>
    </font>
    <font>
      <name val="Arial"/>
      <family val="2"/>
      <sz val="12"/>
      <scheme val="major"/>
    </font>
    <font>
      <name val="Arial"/>
      <family val="2"/>
      <b val="1"/>
      <sz val="12"/>
      <scheme val="major"/>
    </font>
    <font>
      <name val="Arial"/>
      <family val="2"/>
      <color rgb="FF0070C0"/>
      <sz val="10"/>
      <scheme val="major"/>
    </font>
    <font>
      <name val="Arial"/>
      <family val="2"/>
      <b val="1"/>
      <sz val="20"/>
      <scheme val="major"/>
    </font>
    <font>
      <name val="Arial"/>
      <family val="2"/>
      <b val="1"/>
      <sz val="10"/>
      <scheme val="major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theme="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/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 style="medium">
        <color rgb="FF339966"/>
      </left>
      <right/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/>
      <right/>
      <top style="medium">
        <color rgb="FF366092"/>
      </top>
      <bottom style="thin">
        <color rgb="FF000000"/>
      </bottom>
      <diagonal/>
    </border>
    <border>
      <left/>
      <right style="medium">
        <color rgb="FF366092"/>
      </right>
      <top style="medium">
        <color rgb="FF366092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366092"/>
      </bottom>
      <diagonal/>
    </border>
    <border>
      <left style="medium">
        <color theme="4" tint="-0.249946592608417"/>
      </left>
      <right style="medium">
        <color theme="4" tint="-0.249946592608417"/>
      </right>
      <top style="medium">
        <color theme="4" tint="-0.249946592608417"/>
      </top>
      <bottom style="medium">
        <color theme="4" tint="-0.249946592608417"/>
      </bottom>
      <diagonal/>
    </border>
    <border>
      <left style="medium">
        <color theme="4" tint="-0.249946592608417"/>
      </left>
      <right/>
      <top style="medium">
        <color theme="4" tint="-0.249946592608417"/>
      </top>
      <bottom/>
      <diagonal/>
    </border>
    <border>
      <left/>
      <right/>
      <top style="medium">
        <color theme="4" tint="-0.249946592608417"/>
      </top>
      <bottom/>
      <diagonal/>
    </border>
    <border>
      <left/>
      <right style="medium">
        <color theme="4" tint="-0.249946592608417"/>
      </right>
      <top style="medium">
        <color theme="4" tint="-0.249946592608417"/>
      </top>
      <bottom/>
      <diagonal/>
    </border>
    <border>
      <left style="medium">
        <color theme="4" tint="-0.249946592608417"/>
      </left>
      <right/>
      <top/>
      <bottom/>
      <diagonal/>
    </border>
    <border>
      <left/>
      <right style="medium">
        <color theme="4" tint="-0.249946592608417"/>
      </right>
      <top/>
      <bottom/>
      <diagonal/>
    </border>
    <border>
      <left style="medium">
        <color theme="4" tint="-0.249946592608417"/>
      </left>
      <right/>
      <top/>
      <bottom style="medium">
        <color theme="4" tint="-0.249946592608417"/>
      </bottom>
      <diagonal/>
    </border>
    <border>
      <left/>
      <right/>
      <top/>
      <bottom style="medium">
        <color theme="4" tint="-0.249946592608417"/>
      </bottom>
      <diagonal/>
    </border>
    <border>
      <left/>
      <right style="medium">
        <color theme="4" tint="-0.249946592608417"/>
      </right>
      <top/>
      <bottom style="medium">
        <color theme="4" tint="-0.249946592608417"/>
      </bottom>
      <diagonal/>
    </border>
    <border>
      <left style="medium">
        <color rgb="FF366092"/>
      </left>
      <right/>
      <top style="medium">
        <color theme="4" tint="-0.249946592608417"/>
      </top>
      <bottom/>
      <diagonal/>
    </border>
    <border>
      <left style="medium">
        <color theme="4" tint="-0.249946592608417"/>
      </left>
      <right/>
      <top/>
      <bottom style="medium">
        <color rgb="FF366092"/>
      </bottom>
      <diagonal/>
    </border>
    <border>
      <left/>
      <right style="medium">
        <color theme="4" tint="-0.249946592608417"/>
      </right>
      <top/>
      <bottom style="medium">
        <color rgb="FF366092"/>
      </bottom>
      <diagonal/>
    </border>
    <border>
      <left/>
      <right style="medium">
        <color rgb="FF366092"/>
      </right>
      <top style="medium">
        <color theme="4" tint="-0.249946592608417"/>
      </top>
      <bottom/>
      <diagonal/>
    </border>
    <border>
      <left style="medium">
        <color rgb="FF339966"/>
      </left>
      <right/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 style="medium">
        <color theme="4" tint="-0.249946592608417"/>
      </top>
      <bottom/>
      <diagonal/>
    </border>
    <border>
      <left style="medium">
        <color rgb="FF366092"/>
      </left>
      <right/>
      <top style="medium">
        <color rgb="FF366092"/>
      </top>
      <bottom style="medium">
        <color theme="4" tint="-0.249946592608417"/>
      </bottom>
      <diagonal/>
    </border>
    <border>
      <left/>
      <right/>
      <top style="medium">
        <color rgb="FF366092"/>
      </top>
      <bottom style="medium">
        <color theme="4" tint="-0.249946592608417"/>
      </bottom>
      <diagonal/>
    </border>
    <border>
      <left/>
      <right style="medium">
        <color rgb="FF366092"/>
      </right>
      <top style="medium">
        <color rgb="FF366092"/>
      </top>
      <bottom style="medium">
        <color theme="4" tint="-0.249946592608417"/>
      </bottom>
      <diagonal/>
    </border>
    <border>
      <left style="medium">
        <color rgb="FF366092"/>
      </left>
      <right/>
      <top/>
      <bottom style="medium">
        <color theme="4" tint="-0.249946592608417"/>
      </bottom>
      <diagonal/>
    </border>
    <border>
      <left style="medium">
        <color theme="4" tint="-0.249946592608417"/>
      </left>
      <right style="medium">
        <color theme="4" tint="-0.249946592608417"/>
      </right>
      <top/>
      <bottom style="medium">
        <color theme="4" tint="-0.249946592608417"/>
      </bottom>
      <diagonal/>
    </border>
    <border>
      <left/>
      <right style="medium">
        <color theme="4" tint="-0.249946592608417"/>
      </right>
      <top style="medium">
        <color theme="4" tint="-0.249946592608417"/>
      </top>
      <bottom style="medium">
        <color theme="4" tint="-0.249946592608417"/>
      </bottom>
      <diagonal/>
    </border>
    <border>
      <left style="medium">
        <color theme="4" tint="-0.249946592608417"/>
      </left>
      <right style="medium">
        <color theme="4" tint="-0.249946592608417"/>
      </right>
      <top/>
      <bottom style="medium">
        <color rgb="FF366092"/>
      </bottom>
      <diagonal/>
    </border>
    <border>
      <left style="medium">
        <color rgb="FF366092"/>
      </left>
      <right style="medium">
        <color theme="4" tint="-0.249946592608417"/>
      </right>
      <top style="medium">
        <color theme="4" tint="-0.249946592608417"/>
      </top>
      <bottom/>
      <diagonal/>
    </border>
    <border>
      <left style="medium">
        <color rgb="FF366092"/>
      </left>
      <right style="medium">
        <color theme="4" tint="-0.249946592608417"/>
      </right>
      <top/>
      <bottom/>
      <diagonal/>
    </border>
    <border>
      <left style="medium">
        <color theme="4" tint="-0.249946592608417"/>
      </left>
      <right style="medium">
        <color theme="4" tint="-0.249946592608417"/>
      </right>
      <top/>
      <bottom/>
      <diagonal/>
    </border>
    <border>
      <left style="medium">
        <color rgb="FF366092"/>
      </left>
      <right style="medium">
        <color theme="4" tint="-0.249946592608417"/>
      </right>
      <top/>
      <bottom style="medium">
        <color theme="4" tint="-0.249946592608417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theme="4" tint="-0.249946592608417"/>
      </bottom>
      <diagonal/>
    </border>
    <border>
      <left style="medium">
        <color rgb="FF366092"/>
      </left>
      <right style="medium">
        <color rgb="FF366092"/>
      </right>
      <top style="medium">
        <color theme="4" tint="-0.249946592608417"/>
      </top>
      <bottom style="medium">
        <color rgb="FF366092"/>
      </bottom>
      <diagonal/>
    </border>
  </borders>
  <cellStyleXfs count="1">
    <xf numFmtId="0" fontId="0" fillId="0" borderId="56"/>
  </cellStyleXfs>
  <cellXfs count="476">
    <xf numFmtId="0" fontId="0" fillId="0" borderId="0" pivotButton="0" quotePrefix="0" xfId="0"/>
    <xf numFmtId="0" fontId="3" fillId="3" borderId="6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56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8" fillId="0" borderId="1" pivotButton="0" quotePrefix="0" xfId="0"/>
    <xf numFmtId="0" fontId="9" fillId="0" borderId="29" pivotButton="0" quotePrefix="0" xfId="0"/>
    <xf numFmtId="0" fontId="4" fillId="2" borderId="59" applyAlignment="1" pivotButton="0" quotePrefix="0" xfId="0">
      <alignment horizontal="center"/>
    </xf>
    <xf numFmtId="0" fontId="4" fillId="2" borderId="60" applyAlignment="1" pivotButton="0" quotePrefix="0" xfId="0">
      <alignment horizontal="center"/>
    </xf>
    <xf numFmtId="0" fontId="9" fillId="0" borderId="60" pivotButton="0" quotePrefix="0" xfId="0"/>
    <xf numFmtId="0" fontId="9" fillId="0" borderId="59" pivotButton="0" quotePrefix="0" xfId="0"/>
    <xf numFmtId="0" fontId="10" fillId="3" borderId="60" applyAlignment="1" pivotButton="0" quotePrefix="0" xfId="0">
      <alignment horizontal="center" vertical="center"/>
    </xf>
    <xf numFmtId="0" fontId="11" fillId="0" borderId="60" pivotButton="0" quotePrefix="0" xfId="0"/>
    <xf numFmtId="0" fontId="9" fillId="0" borderId="61" pivotButton="0" quotePrefix="0" xfId="0"/>
    <xf numFmtId="0" fontId="9" fillId="0" borderId="56" pivotButton="0" quotePrefix="0" xfId="0"/>
    <xf numFmtId="0" fontId="8" fillId="0" borderId="56" pivotButton="0" quotePrefix="0" xfId="0"/>
    <xf numFmtId="0" fontId="13" fillId="0" borderId="58" pivotButton="0" quotePrefix="0" xfId="0"/>
    <xf numFmtId="0" fontId="7" fillId="0" borderId="56" pivotButton="0" quotePrefix="0" xfId="0"/>
    <xf numFmtId="0" fontId="18" fillId="4" borderId="43" applyAlignment="1" pivotButton="0" quotePrefix="0" xfId="0">
      <alignment horizontal="center" vertical="center" wrapText="1"/>
    </xf>
    <xf numFmtId="0" fontId="18" fillId="3" borderId="55" applyAlignment="1" pivotButton="0" quotePrefix="0" xfId="0">
      <alignment horizontal="center" vertical="center" wrapText="1"/>
    </xf>
    <xf numFmtId="0" fontId="18" fillId="4" borderId="55" applyAlignment="1" pivotButton="0" quotePrefix="0" xfId="0">
      <alignment horizontal="center" vertical="center" wrapText="1"/>
    </xf>
    <xf numFmtId="164" fontId="13" fillId="2" borderId="1" pivotButton="0" quotePrefix="0" xfId="0"/>
    <xf numFmtId="164" fontId="13" fillId="4" borderId="7" applyAlignment="1" pivotButton="0" quotePrefix="0" xfId="0">
      <alignment horizontal="right"/>
    </xf>
    <xf numFmtId="164" fontId="13" fillId="4" borderId="1" pivotButton="0" quotePrefix="0" xfId="0"/>
    <xf numFmtId="164" fontId="13" fillId="4" borderId="11" pivotButton="0" quotePrefix="0" xfId="0"/>
    <xf numFmtId="164" fontId="6" fillId="3" borderId="1" pivotButton="0" quotePrefix="0" xfId="0"/>
    <xf numFmtId="10" fontId="6" fillId="0" borderId="0" pivotButton="0" quotePrefix="0" xfId="0"/>
    <xf numFmtId="9" fontId="6" fillId="0" borderId="0" pivotButton="0" quotePrefix="0" xfId="0"/>
    <xf numFmtId="0" fontId="17" fillId="3" borderId="45" applyAlignment="1" pivotButton="0" quotePrefix="0" xfId="0">
      <alignment horizontal="center" vertical="center" wrapText="1"/>
    </xf>
    <xf numFmtId="0" fontId="17" fillId="4" borderId="43" applyAlignment="1" pivotButton="0" quotePrefix="0" xfId="0">
      <alignment horizontal="center" vertical="center" wrapText="1"/>
    </xf>
    <xf numFmtId="0" fontId="17" fillId="3" borderId="55" applyAlignment="1" pivotButton="0" quotePrefix="0" xfId="0">
      <alignment horizontal="center" vertical="center" wrapText="1"/>
    </xf>
    <xf numFmtId="0" fontId="18" fillId="4" borderId="46" applyAlignment="1" pivotButton="0" quotePrefix="0" xfId="0">
      <alignment horizontal="center" vertical="center"/>
    </xf>
    <xf numFmtId="0" fontId="17" fillId="4" borderId="55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textRotation="90" wrapText="1"/>
    </xf>
    <xf numFmtId="0" fontId="18" fillId="4" borderId="71" applyAlignment="1" pivotButton="0" quotePrefix="0" xfId="0">
      <alignment horizontal="center" vertical="center" wrapText="1"/>
    </xf>
    <xf numFmtId="0" fontId="18" fillId="4" borderId="35" applyAlignment="1" pivotButton="0" quotePrefix="0" xfId="0">
      <alignment horizontal="center" vertical="center" wrapText="1"/>
    </xf>
    <xf numFmtId="0" fontId="18" fillId="3" borderId="35" applyAlignment="1" pivotButton="0" quotePrefix="0" xfId="0">
      <alignment horizontal="center" vertical="center" wrapText="1"/>
    </xf>
    <xf numFmtId="0" fontId="18" fillId="4" borderId="45" applyAlignment="1" pivotButton="0" quotePrefix="0" xfId="0">
      <alignment horizontal="center" vertical="center" wrapText="1"/>
    </xf>
    <xf numFmtId="0" fontId="21" fillId="4" borderId="2" pivotButton="0" quotePrefix="0" xfId="0"/>
    <xf numFmtId="0" fontId="21" fillId="4" borderId="3" pivotButton="0" quotePrefix="0" xfId="0"/>
    <xf numFmtId="0" fontId="22" fillId="4" borderId="3" pivotButton="0" quotePrefix="0" xfId="0"/>
    <xf numFmtId="0" fontId="22" fillId="4" borderId="54" applyAlignment="1" pivotButton="0" quotePrefix="0" xfId="0">
      <alignment horizontal="center"/>
    </xf>
    <xf numFmtId="0" fontId="22" fillId="4" borderId="1" pivotButton="0" quotePrefix="0" xfId="0"/>
    <xf numFmtId="0" fontId="22" fillId="4" borderId="11" pivotButton="0" quotePrefix="0" xfId="0"/>
    <xf numFmtId="0" fontId="22" fillId="4" borderId="1" applyAlignment="1" pivotButton="0" quotePrefix="0" xfId="0">
      <alignment wrapText="1"/>
    </xf>
    <xf numFmtId="0" fontId="21" fillId="4" borderId="7" pivotButton="0" quotePrefix="0" xfId="0"/>
    <xf numFmtId="0" fontId="21" fillId="4" borderId="1" pivotButton="0" quotePrefix="0" xfId="0"/>
    <xf numFmtId="0" fontId="22" fillId="4" borderId="14" pivotButton="0" quotePrefix="0" xfId="0"/>
    <xf numFmtId="0" fontId="22" fillId="4" borderId="16" pivotButton="0" quotePrefix="0" xfId="0"/>
    <xf numFmtId="0" fontId="22" fillId="4" borderId="17" pivotButton="0" quotePrefix="0" xfId="0"/>
    <xf numFmtId="0" fontId="18" fillId="4" borderId="1" applyAlignment="1" pivotButton="0" quotePrefix="0" xfId="0">
      <alignment wrapText="1"/>
    </xf>
    <xf numFmtId="0" fontId="21" fillId="4" borderId="7" applyAlignment="1" pivotButton="0" quotePrefix="0" xfId="0">
      <alignment vertical="center" textRotation="90"/>
    </xf>
    <xf numFmtId="0" fontId="18" fillId="3" borderId="35" applyAlignment="1" pivotButton="0" quotePrefix="0" xfId="0">
      <alignment vertical="center" wrapText="1"/>
    </xf>
    <xf numFmtId="0" fontId="22" fillId="4" borderId="7" applyAlignment="1" pivotButton="0" quotePrefix="0" xfId="0">
      <alignment vertical="center" wrapText="1"/>
    </xf>
    <xf numFmtId="0" fontId="22" fillId="4" borderId="7" pivotButton="0" quotePrefix="0" xfId="0"/>
    <xf numFmtId="0" fontId="22" fillId="4" borderId="1" applyAlignment="1" pivotButton="0" quotePrefix="0" xfId="0">
      <alignment horizontal="right"/>
    </xf>
    <xf numFmtId="0" fontId="22" fillId="4" borderId="1" applyAlignment="1" pivotButton="0" quotePrefix="0" xfId="0">
      <alignment horizontal="left"/>
    </xf>
    <xf numFmtId="0" fontId="3" fillId="3" borderId="45" applyAlignment="1" pivotButton="0" quotePrefix="0" xfId="0">
      <alignment horizontal="left" wrapText="1"/>
    </xf>
    <xf numFmtId="0" fontId="3" fillId="3" borderId="57" pivotButton="0" quotePrefix="0" xfId="0"/>
    <xf numFmtId="0" fontId="14" fillId="3" borderId="56" pivotButton="0" quotePrefix="0" xfId="0"/>
    <xf numFmtId="0" fontId="1" fillId="3" borderId="57" pivotButton="0" quotePrefix="0" xfId="0"/>
    <xf numFmtId="0" fontId="16" fillId="3" borderId="57" applyAlignment="1" pivotButton="0" quotePrefix="0" xfId="0">
      <alignment horizontal="center"/>
    </xf>
    <xf numFmtId="0" fontId="1" fillId="3" borderId="57" applyAlignment="1" pivotButton="0" quotePrefix="0" xfId="0">
      <alignment horizontal="center"/>
    </xf>
    <xf numFmtId="0" fontId="1" fillId="3" borderId="30" pivotButton="0" quotePrefix="0" xfId="0"/>
    <xf numFmtId="0" fontId="2" fillId="3" borderId="43" applyAlignment="1" pivotButton="0" quotePrefix="0" xfId="0">
      <alignment horizontal="center" vertical="center" textRotation="90" wrapText="1"/>
    </xf>
    <xf numFmtId="0" fontId="15" fillId="3" borderId="27" applyAlignment="1" pivotButton="0" quotePrefix="0" xfId="0">
      <alignment horizontal="left" vertical="center"/>
    </xf>
    <xf numFmtId="0" fontId="16" fillId="3" borderId="27" applyAlignment="1" pivotButton="0" quotePrefix="0" xfId="0">
      <alignment horizontal="center" wrapText="1"/>
    </xf>
    <xf numFmtId="0" fontId="1" fillId="3" borderId="57" applyAlignment="1" pivotButton="0" quotePrefix="0" xfId="0">
      <alignment horizontal="right"/>
    </xf>
    <xf numFmtId="0" fontId="3" fillId="3" borderId="57" applyAlignment="1" pivotButton="0" quotePrefix="0" xfId="0">
      <alignment horizontal="left" wrapText="1"/>
    </xf>
    <xf numFmtId="0" fontId="1" fillId="3" borderId="57" applyAlignment="1" pivotButton="0" quotePrefix="0" xfId="0">
      <alignment horizontal="left"/>
    </xf>
    <xf numFmtId="0" fontId="7" fillId="0" borderId="57" pivotButton="0" quotePrefix="0" xfId="0"/>
    <xf numFmtId="0" fontId="3" fillId="3" borderId="56" applyAlignment="1" pivotButton="0" quotePrefix="0" xfId="0">
      <alignment horizontal="left" vertical="center"/>
    </xf>
    <xf numFmtId="0" fontId="1" fillId="3" borderId="56" applyAlignment="1" pivotButton="0" quotePrefix="0" xfId="0">
      <alignment horizontal="left" vertical="center"/>
    </xf>
    <xf numFmtId="0" fontId="1" fillId="3" borderId="35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56" applyAlignment="1" pivotButton="0" quotePrefix="0" xfId="0">
      <alignment horizontal="left"/>
    </xf>
    <xf numFmtId="164" fontId="13" fillId="4" borderId="56" pivotButton="0" quotePrefix="0" xfId="0"/>
    <xf numFmtId="0" fontId="18" fillId="2" borderId="25" applyAlignment="1" pivotButton="0" quotePrefix="0" xfId="0">
      <alignment vertical="center" wrapText="1"/>
    </xf>
    <xf numFmtId="0" fontId="9" fillId="0" borderId="29" applyAlignment="1" pivotButton="0" quotePrefix="0" xfId="0">
      <alignment horizontal="center"/>
    </xf>
    <xf numFmtId="0" fontId="22" fillId="3" borderId="35" pivotButton="0" quotePrefix="0" xfId="0"/>
    <xf numFmtId="0" fontId="9" fillId="0" borderId="35" pivotButton="0" quotePrefix="0" xfId="0"/>
    <xf numFmtId="0" fontId="18" fillId="4" borderId="56" applyAlignment="1" pivotButton="0" quotePrefix="0" xfId="0">
      <alignment horizontal="center" vertical="center" wrapText="1"/>
    </xf>
    <xf numFmtId="0" fontId="9" fillId="5" borderId="56" pivotButton="0" quotePrefix="0" xfId="0"/>
    <xf numFmtId="0" fontId="9" fillId="5" borderId="22" pivotButton="0" quotePrefix="0" xfId="0"/>
    <xf numFmtId="0" fontId="22" fillId="6" borderId="56" applyAlignment="1" pivotButton="0" quotePrefix="0" xfId="0">
      <alignment horizontal="center"/>
    </xf>
    <xf numFmtId="0" fontId="22" fillId="6" borderId="56" pivotButton="0" quotePrefix="0" xfId="0"/>
    <xf numFmtId="0" fontId="22" fillId="6" borderId="1" pivotButton="0" quotePrefix="0" xfId="0"/>
    <xf numFmtId="0" fontId="12" fillId="6" borderId="56" applyAlignment="1" pivotButton="0" quotePrefix="0" xfId="0">
      <alignment vertical="center" wrapText="1"/>
    </xf>
    <xf numFmtId="0" fontId="18" fillId="0" borderId="35" applyAlignment="1" pivotButton="0" quotePrefix="0" xfId="0">
      <alignment vertical="center" wrapText="1"/>
    </xf>
    <xf numFmtId="0" fontId="4" fillId="4" borderId="43" pivotButton="0" quotePrefix="0" xfId="0"/>
    <xf numFmtId="0" fontId="5" fillId="4" borderId="27" pivotButton="0" quotePrefix="0" xfId="0"/>
    <xf numFmtId="0" fontId="7" fillId="5" borderId="27" pivotButton="0" quotePrefix="0" xfId="0"/>
    <xf numFmtId="0" fontId="9" fillId="5" borderId="29" pivotButton="0" quotePrefix="0" xfId="0"/>
    <xf numFmtId="0" fontId="22" fillId="4" borderId="56" pivotButton="0" quotePrefix="0" xfId="0"/>
    <xf numFmtId="0" fontId="22" fillId="4" borderId="56" applyAlignment="1" pivotButton="0" quotePrefix="0" xfId="0">
      <alignment wrapText="1"/>
    </xf>
    <xf numFmtId="0" fontId="9" fillId="5" borderId="24" pivotButton="0" quotePrefix="0" xfId="0"/>
    <xf numFmtId="0" fontId="18" fillId="4" borderId="55" applyAlignment="1" pivotButton="0" quotePrefix="0" xfId="0">
      <alignment vertical="center" wrapText="1"/>
    </xf>
    <xf numFmtId="0" fontId="22" fillId="6" borderId="24" applyAlignment="1" pivotButton="0" quotePrefix="0" xfId="0">
      <alignment horizontal="center"/>
    </xf>
    <xf numFmtId="0" fontId="18" fillId="4" borderId="56" applyAlignment="1" pivotButton="0" quotePrefix="0" xfId="0">
      <alignment wrapText="1"/>
    </xf>
    <xf numFmtId="0" fontId="22" fillId="4" borderId="45" applyAlignment="1" pivotButton="0" quotePrefix="0" xfId="0">
      <alignment vertical="center" wrapText="1"/>
    </xf>
    <xf numFmtId="0" fontId="22" fillId="4" borderId="57" applyAlignment="1" pivotButton="0" quotePrefix="0" xfId="0">
      <alignment wrapText="1"/>
    </xf>
    <xf numFmtId="0" fontId="22" fillId="6" borderId="57" pivotButton="0" quotePrefix="0" xfId="0"/>
    <xf numFmtId="0" fontId="22" fillId="6" borderId="30" pivotButton="0" quotePrefix="0" xfId="0"/>
    <xf numFmtId="0" fontId="18" fillId="3" borderId="67" applyAlignment="1" pivotButton="0" quotePrefix="0" xfId="0">
      <alignment horizontal="center" vertical="center" wrapText="1"/>
    </xf>
    <xf numFmtId="0" fontId="17" fillId="3" borderId="76" applyAlignment="1" pivotButton="0" quotePrefix="0" xfId="0">
      <alignment horizontal="center" vertical="center" wrapText="1"/>
    </xf>
    <xf numFmtId="0" fontId="18" fillId="4" borderId="60" applyAlignment="1" pivotButton="0" quotePrefix="0" xfId="0">
      <alignment horizontal="center" vertical="center" wrapText="1"/>
    </xf>
    <xf numFmtId="0" fontId="18" fillId="3" borderId="56" applyAlignment="1" pivotButton="0" quotePrefix="0" xfId="0">
      <alignment horizontal="center" vertical="center" wrapText="1"/>
    </xf>
    <xf numFmtId="0" fontId="12" fillId="3" borderId="24" pivotButton="0" quotePrefix="0" xfId="0"/>
    <xf numFmtId="0" fontId="18" fillId="4" borderId="50" applyAlignment="1" pivotButton="0" quotePrefix="0" xfId="0">
      <alignment horizontal="center" vertical="center"/>
    </xf>
    <xf numFmtId="0" fontId="18" fillId="3" borderId="51" applyAlignment="1" pivotButton="0" quotePrefix="0" xfId="0">
      <alignment horizontal="center" vertical="center"/>
    </xf>
    <xf numFmtId="0" fontId="18" fillId="4" borderId="51" applyAlignment="1" pivotButton="0" quotePrefix="0" xfId="0">
      <alignment horizontal="center" vertical="center"/>
    </xf>
    <xf numFmtId="0" fontId="17" fillId="4" borderId="51" applyAlignment="1" pivotButton="0" quotePrefix="0" xfId="0">
      <alignment horizontal="center" vertical="center"/>
    </xf>
    <xf numFmtId="0" fontId="18" fillId="3" borderId="50" applyAlignment="1" pivotButton="0" quotePrefix="0" xfId="0">
      <alignment horizontal="center" vertical="center"/>
    </xf>
    <xf numFmtId="0" fontId="17" fillId="3" borderId="51" applyAlignment="1" pivotButton="0" quotePrefix="0" xfId="0">
      <alignment horizontal="center" vertical="center"/>
    </xf>
    <xf numFmtId="0" fontId="17" fillId="4" borderId="50" applyAlignment="1" pivotButton="0" quotePrefix="0" xfId="0">
      <alignment horizontal="center" vertical="center"/>
    </xf>
    <xf numFmtId="0" fontId="12" fillId="4" borderId="45" applyAlignment="1" pivotButton="0" quotePrefix="0" xfId="0">
      <alignment horizontal="left" vertical="top"/>
    </xf>
    <xf numFmtId="0" fontId="12" fillId="4" borderId="57" applyAlignment="1" pivotButton="0" quotePrefix="0" xfId="0">
      <alignment horizontal="left" vertical="top"/>
    </xf>
    <xf numFmtId="0" fontId="12" fillId="4" borderId="30" applyAlignment="1" pivotButton="0" quotePrefix="0" xfId="0">
      <alignment horizontal="left" vertical="top"/>
    </xf>
    <xf numFmtId="0" fontId="4" fillId="2" borderId="73" applyAlignment="1" pivotButton="0" quotePrefix="0" xfId="0">
      <alignment horizontal="center"/>
    </xf>
    <xf numFmtId="0" fontId="4" fillId="2" borderId="74" applyAlignment="1" pivotButton="0" quotePrefix="0" xfId="0">
      <alignment horizontal="center"/>
    </xf>
    <xf numFmtId="0" fontId="26" fillId="0" borderId="73" applyAlignment="1" pivotButton="0" quotePrefix="0" xfId="0">
      <alignment horizontal="center" vertical="center"/>
    </xf>
    <xf numFmtId="0" fontId="26" fillId="0" borderId="74" applyAlignment="1" pivotButton="0" quotePrefix="0" xfId="0">
      <alignment horizontal="center" vertical="center"/>
    </xf>
    <xf numFmtId="0" fontId="26" fillId="0" borderId="75" applyAlignment="1" pivotButton="0" quotePrefix="0" xfId="0">
      <alignment horizontal="center" vertical="center"/>
    </xf>
    <xf numFmtId="0" fontId="8" fillId="0" borderId="56" applyAlignment="1" pivotButton="0" quotePrefix="0" xfId="0">
      <alignment horizontal="center"/>
    </xf>
    <xf numFmtId="0" fontId="8" fillId="0" borderId="63" applyAlignment="1" pivotButton="0" quotePrefix="0" xfId="0">
      <alignment horizontal="center"/>
    </xf>
    <xf numFmtId="0" fontId="2" fillId="3" borderId="56" applyAlignment="1" pivotButton="0" quotePrefix="0" xfId="0">
      <alignment horizontal="center" vertical="center"/>
    </xf>
    <xf numFmtId="0" fontId="1" fillId="3" borderId="56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3" fillId="3" borderId="60" applyAlignment="1" pivotButton="0" quotePrefix="0" xfId="0">
      <alignment horizontal="left" vertical="top"/>
    </xf>
    <xf numFmtId="0" fontId="3" fillId="3" borderId="70" applyAlignment="1" pivotButton="0" quotePrefix="0" xfId="0">
      <alignment horizontal="left" vertical="top"/>
    </xf>
    <xf numFmtId="0" fontId="9" fillId="0" borderId="57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0" fontId="3" fillId="3" borderId="60" applyAlignment="1" pivotButton="0" quotePrefix="0" xfId="0">
      <alignment horizontal="left" vertical="center"/>
    </xf>
    <xf numFmtId="0" fontId="5" fillId="0" borderId="68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69" applyAlignment="1" pivotButton="0" quotePrefix="0" xfId="0">
      <alignment horizontal="center"/>
    </xf>
    <xf numFmtId="0" fontId="3" fillId="0" borderId="60" applyAlignment="1" pivotButton="0" quotePrefix="0" xfId="0">
      <alignment horizontal="left" vertical="center"/>
    </xf>
    <xf numFmtId="0" fontId="7" fillId="0" borderId="68" applyAlignment="1" pivotButton="0" quotePrefix="0" xfId="0">
      <alignment horizontal="center"/>
    </xf>
    <xf numFmtId="0" fontId="7" fillId="0" borderId="57" applyAlignment="1" pivotButton="0" quotePrefix="0" xfId="0">
      <alignment horizontal="center"/>
    </xf>
    <xf numFmtId="0" fontId="7" fillId="0" borderId="69" applyAlignment="1" pivotButton="0" quotePrefix="0" xfId="0">
      <alignment horizontal="center"/>
    </xf>
    <xf numFmtId="0" fontId="2" fillId="3" borderId="72" applyAlignment="1" pivotButton="0" quotePrefix="0" xfId="0">
      <alignment horizontal="center" vertical="center" textRotation="90" wrapText="1"/>
    </xf>
    <xf numFmtId="0" fontId="2" fillId="3" borderId="51" applyAlignment="1" pivotButton="0" quotePrefix="0" xfId="0">
      <alignment horizontal="center" vertical="center" textRotation="90" wrapText="1"/>
    </xf>
    <xf numFmtId="0" fontId="2" fillId="3" borderId="46" applyAlignment="1" pivotButton="0" quotePrefix="0" xfId="0">
      <alignment horizontal="center" vertical="center" textRotation="90" wrapText="1"/>
    </xf>
    <xf numFmtId="0" fontId="3" fillId="3" borderId="55" applyAlignment="1" pivotButton="0" quotePrefix="0" xfId="0">
      <alignment horizontal="left" vertical="center" wrapText="1"/>
    </xf>
    <xf numFmtId="0" fontId="3" fillId="3" borderId="56" applyAlignment="1" pivotButton="0" quotePrefix="0" xfId="0">
      <alignment horizontal="left" vertical="center" wrapText="1"/>
    </xf>
    <xf numFmtId="0" fontId="1" fillId="3" borderId="56" applyAlignment="1" pivotButton="0" quotePrefix="0" xfId="0">
      <alignment horizontal="left" vertical="center"/>
    </xf>
    <xf numFmtId="0" fontId="1" fillId="3" borderId="55" applyAlignment="1" pivotButton="0" quotePrefix="0" xfId="0">
      <alignment horizontal="center" vertical="center"/>
    </xf>
    <xf numFmtId="0" fontId="10" fillId="3" borderId="43" applyAlignment="1" pivotButton="0" quotePrefix="0" xfId="0">
      <alignment horizontal="center" vertical="center"/>
    </xf>
    <xf numFmtId="0" fontId="11" fillId="0" borderId="27" pivotButton="0" quotePrefix="0" xfId="0"/>
    <xf numFmtId="0" fontId="11" fillId="0" borderId="29" pivotButton="0" quotePrefix="0" xfId="0"/>
    <xf numFmtId="0" fontId="9" fillId="0" borderId="27" pivotButton="0" quotePrefix="0" xfId="0"/>
    <xf numFmtId="0" fontId="9" fillId="0" borderId="29" pivotButton="0" quotePrefix="0" xfId="0"/>
    <xf numFmtId="0" fontId="18" fillId="4" borderId="55" applyAlignment="1" pivotButton="0" quotePrefix="0" xfId="0">
      <alignment horizontal="center" vertical="top"/>
    </xf>
    <xf numFmtId="0" fontId="18" fillId="4" borderId="56" applyAlignment="1" pivotButton="0" quotePrefix="0" xfId="0">
      <alignment horizontal="center" vertical="top"/>
    </xf>
    <xf numFmtId="165" fontId="13" fillId="4" borderId="55" applyAlignment="1" pivotButton="0" quotePrefix="0" xfId="0">
      <alignment horizontal="center"/>
    </xf>
    <xf numFmtId="165" fontId="13" fillId="4" borderId="56" applyAlignment="1" pivotButton="0" quotePrefix="0" xfId="0">
      <alignment horizontal="center"/>
    </xf>
    <xf numFmtId="165" fontId="13" fillId="4" borderId="24" applyAlignment="1" pivotButton="0" quotePrefix="0" xfId="0">
      <alignment horizontal="center"/>
    </xf>
    <xf numFmtId="164" fontId="13" fillId="3" borderId="55" applyAlignment="1" pivotButton="0" quotePrefix="0" xfId="0">
      <alignment horizontal="center"/>
    </xf>
    <xf numFmtId="164" fontId="13" fillId="3" borderId="56" applyAlignment="1" pivotButton="0" quotePrefix="0" xfId="0">
      <alignment horizontal="center"/>
    </xf>
    <xf numFmtId="164" fontId="13" fillId="3" borderId="24" applyAlignment="1" pivotButton="0" quotePrefix="0" xfId="0">
      <alignment horizontal="center"/>
    </xf>
    <xf numFmtId="164" fontId="13" fillId="4" borderId="55" applyAlignment="1" pivotButton="0" quotePrefix="0" xfId="0">
      <alignment horizontal="center"/>
    </xf>
    <xf numFmtId="164" fontId="13" fillId="4" borderId="56" applyAlignment="1" pivotButton="0" quotePrefix="0" xfId="0">
      <alignment horizontal="center"/>
    </xf>
    <xf numFmtId="164" fontId="13" fillId="4" borderId="24" applyAlignment="1" pivotButton="0" quotePrefix="0" xfId="0">
      <alignment horizontal="center"/>
    </xf>
    <xf numFmtId="164" fontId="13" fillId="4" borderId="67" applyAlignment="1" pivotButton="0" quotePrefix="0" xfId="0">
      <alignment horizontal="center"/>
    </xf>
    <xf numFmtId="164" fontId="13" fillId="4" borderId="60" applyAlignment="1" pivotButton="0" quotePrefix="0" xfId="0">
      <alignment horizontal="center"/>
    </xf>
    <xf numFmtId="164" fontId="13" fillId="4" borderId="70" applyAlignment="1" pivotButton="0" quotePrefix="0" xfId="0">
      <alignment horizontal="center"/>
    </xf>
    <xf numFmtId="164" fontId="15" fillId="3" borderId="76" applyAlignment="1" pivotButton="0" quotePrefix="0" xfId="0">
      <alignment horizontal="center"/>
    </xf>
    <xf numFmtId="164" fontId="15" fillId="3" borderId="65" applyAlignment="1" pivotButton="0" quotePrefix="0" xfId="0">
      <alignment horizontal="center"/>
    </xf>
    <xf numFmtId="164" fontId="15" fillId="3" borderId="66" applyAlignment="1" pivotButton="0" quotePrefix="0" xfId="0">
      <alignment horizontal="center"/>
    </xf>
    <xf numFmtId="0" fontId="1" fillId="3" borderId="43" applyAlignment="1" pivotButton="0" quotePrefix="0" xfId="0">
      <alignment horizontal="left" vertical="center"/>
    </xf>
    <xf numFmtId="0" fontId="1" fillId="3" borderId="27" applyAlignment="1" pivotButton="0" quotePrefix="0" xfId="0">
      <alignment horizontal="left" vertical="center"/>
    </xf>
    <xf numFmtId="0" fontId="1" fillId="3" borderId="29" applyAlignment="1" pivotButton="0" quotePrefix="0" xfId="0">
      <alignment horizontal="left" vertical="center"/>
    </xf>
    <xf numFmtId="0" fontId="15" fillId="3" borderId="45" applyAlignment="1" pivotButton="0" quotePrefix="0" xfId="0">
      <alignment horizontal="left" vertical="center"/>
    </xf>
    <xf numFmtId="0" fontId="15" fillId="3" borderId="57" applyAlignment="1" pivotButton="0" quotePrefix="0" xfId="0">
      <alignment horizontal="left" vertical="center"/>
    </xf>
    <xf numFmtId="0" fontId="15" fillId="3" borderId="30" applyAlignment="1" pivotButton="0" quotePrefix="0" xfId="0">
      <alignment horizontal="left" vertical="center"/>
    </xf>
    <xf numFmtId="3" fontId="18" fillId="2" borderId="27" applyAlignment="1" pivotButton="0" quotePrefix="0" xfId="0">
      <alignment horizontal="center" vertical="center" wrapText="1"/>
    </xf>
    <xf numFmtId="164" fontId="13" fillId="3" borderId="28" applyAlignment="1" pivotButton="0" quotePrefix="0" xfId="0">
      <alignment horizontal="right"/>
    </xf>
    <xf numFmtId="0" fontId="9" fillId="0" borderId="26" pivotButton="0" quotePrefix="0" xfId="0"/>
    <xf numFmtId="0" fontId="20" fillId="3" borderId="20" applyAlignment="1" pivotButton="0" quotePrefix="0" xfId="0">
      <alignment horizontal="left" vertical="center" wrapText="1"/>
    </xf>
    <xf numFmtId="0" fontId="23" fillId="0" borderId="21" pivotButton="0" quotePrefix="0" xfId="0"/>
    <xf numFmtId="0" fontId="23" fillId="0" borderId="30" pivotButton="0" quotePrefix="0" xfId="0"/>
    <xf numFmtId="164" fontId="15" fillId="3" borderId="20" applyAlignment="1" pivotButton="0" quotePrefix="0" xfId="0">
      <alignment horizontal="center"/>
    </xf>
    <xf numFmtId="0" fontId="9" fillId="0" borderId="21" pivotButton="0" quotePrefix="0" xfId="0"/>
    <xf numFmtId="0" fontId="9" fillId="0" borderId="30" pivotButton="0" quotePrefix="0" xfId="0"/>
    <xf numFmtId="164" fontId="13" fillId="4" borderId="23" applyAlignment="1" pivotButton="0" quotePrefix="0" xfId="0">
      <alignment horizontal="right"/>
    </xf>
    <xf numFmtId="0" fontId="9" fillId="0" borderId="9" pivotButton="0" quotePrefix="0" xfId="0"/>
    <xf numFmtId="0" fontId="9" fillId="0" borderId="56" pivotButton="0" quotePrefix="0" xfId="0"/>
    <xf numFmtId="0" fontId="9" fillId="0" borderId="24" pivotButton="0" quotePrefix="0" xfId="0"/>
    <xf numFmtId="0" fontId="12" fillId="4" borderId="23" applyAlignment="1" pivotButton="0" quotePrefix="0" xfId="0">
      <alignment horizontal="left" vertical="center" wrapText="1"/>
    </xf>
    <xf numFmtId="0" fontId="23" fillId="0" borderId="9" pivotButton="0" quotePrefix="0" xfId="0"/>
    <xf numFmtId="0" fontId="23" fillId="0" borderId="24" pivotButton="0" quotePrefix="0" xfId="0"/>
    <xf numFmtId="0" fontId="17" fillId="2" borderId="37" applyAlignment="1" pivotButton="0" quotePrefix="0" xfId="0">
      <alignment horizontal="center" vertical="center" textRotation="90" wrapText="1"/>
    </xf>
    <xf numFmtId="0" fontId="9" fillId="0" borderId="38" pivotButton="0" quotePrefix="0" xfId="0"/>
    <xf numFmtId="0" fontId="9" fillId="0" borderId="39" pivotButton="0" quotePrefix="0" xfId="0"/>
    <xf numFmtId="0" fontId="9" fillId="0" borderId="40" pivotButton="0" quotePrefix="0" xfId="0"/>
    <xf numFmtId="0" fontId="9" fillId="0" borderId="47" pivotButton="0" quotePrefix="0" xfId="0"/>
    <xf numFmtId="0" fontId="9" fillId="0" borderId="48" pivotButton="0" quotePrefix="0" xfId="0"/>
    <xf numFmtId="0" fontId="17" fillId="0" borderId="5" applyAlignment="1" pivotButton="0" quotePrefix="0" xfId="0">
      <alignment horizontal="center" vertical="center" textRotation="90" wrapText="1"/>
    </xf>
    <xf numFmtId="0" fontId="9" fillId="0" borderId="6" pivotButton="0" quotePrefix="0" xfId="0"/>
    <xf numFmtId="0" fontId="7" fillId="0" borderId="0" pivotButton="0" quotePrefix="0" xfId="0"/>
    <xf numFmtId="0" fontId="9" fillId="0" borderId="13" pivotButton="0" quotePrefix="0" xfId="0"/>
    <xf numFmtId="0" fontId="9" fillId="0" borderId="15" pivotButton="0" quotePrefix="0" xfId="0"/>
    <xf numFmtId="0" fontId="9" fillId="0" borderId="19" pivotButton="0" quotePrefix="0" xfId="0"/>
    <xf numFmtId="164" fontId="13" fillId="3" borderId="23" applyAlignment="1" pivotButton="0" quotePrefix="0" xfId="0">
      <alignment horizontal="right"/>
    </xf>
    <xf numFmtId="0" fontId="12" fillId="3" borderId="20" applyAlignment="1" pivotButton="0" quotePrefix="0" xfId="0">
      <alignment horizontal="left" vertical="center" wrapText="1"/>
    </xf>
    <xf numFmtId="164" fontId="15" fillId="3" borderId="20" applyAlignment="1" pivotButton="0" quotePrefix="0" xfId="0">
      <alignment horizontal="right"/>
    </xf>
    <xf numFmtId="164" fontId="15" fillId="4" borderId="28" applyAlignment="1" pivotButton="0" quotePrefix="0" xfId="0">
      <alignment horizontal="right"/>
    </xf>
    <xf numFmtId="0" fontId="27" fillId="0" borderId="26" pivotButton="0" quotePrefix="0" xfId="0"/>
    <xf numFmtId="0" fontId="27" fillId="0" borderId="27" pivotButton="0" quotePrefix="0" xfId="0"/>
    <xf numFmtId="0" fontId="27" fillId="0" borderId="29" pivotButton="0" quotePrefix="0" xfId="0"/>
    <xf numFmtId="164" fontId="13" fillId="4" borderId="28" applyAlignment="1" pivotButton="0" quotePrefix="0" xfId="0">
      <alignment horizontal="right"/>
    </xf>
    <xf numFmtId="0" fontId="12" fillId="4" borderId="8" applyAlignment="1" pivotButton="0" quotePrefix="0" xfId="0">
      <alignment horizontal="left" vertical="center" wrapText="1"/>
    </xf>
    <xf numFmtId="0" fontId="23" fillId="0" borderId="49" pivotButton="0" quotePrefix="0" xfId="0"/>
    <xf numFmtId="164" fontId="17" fillId="3" borderId="28" applyAlignment="1" pivotButton="0" quotePrefix="0" xfId="0">
      <alignment horizontal="left" vertical="center" wrapText="1"/>
    </xf>
    <xf numFmtId="164" fontId="17" fillId="3" borderId="3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23" fillId="0" borderId="52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164" fontId="13" fillId="4" borderId="20" applyAlignment="1" pivotButton="0" quotePrefix="0" xfId="0">
      <alignment horizontal="right"/>
    </xf>
    <xf numFmtId="0" fontId="9" fillId="0" borderId="57" pivotButton="0" quotePrefix="0" xfId="0"/>
    <xf numFmtId="164" fontId="19" fillId="7" borderId="23" applyAlignment="1" pivotButton="0" quotePrefix="0" xfId="0">
      <alignment horizontal="center" vertical="center"/>
    </xf>
    <xf numFmtId="0" fontId="9" fillId="5" borderId="9" pivotButton="0" quotePrefix="0" xfId="0"/>
    <xf numFmtId="0" fontId="9" fillId="5" borderId="24" pivotButton="0" quotePrefix="0" xfId="0"/>
    <xf numFmtId="164" fontId="19" fillId="3" borderId="23" applyAlignment="1" pivotButton="0" quotePrefix="0" xfId="0">
      <alignment horizontal="center" vertical="center"/>
    </xf>
    <xf numFmtId="164" fontId="18" fillId="3" borderId="4" applyAlignment="1" pivotButton="0" quotePrefix="0" xfId="0">
      <alignment horizontal="center" vertical="center" textRotation="90" wrapText="1"/>
    </xf>
    <xf numFmtId="0" fontId="9" fillId="0" borderId="5" pivotButton="0" quotePrefix="0" xfId="0"/>
    <xf numFmtId="0" fontId="9" fillId="0" borderId="12" pivotButton="0" quotePrefix="0" xfId="0"/>
    <xf numFmtId="0" fontId="9" fillId="0" borderId="18" pivotButton="0" quotePrefix="0" xfId="0"/>
    <xf numFmtId="164" fontId="18" fillId="3" borderId="50" applyAlignment="1" pivotButton="0" quotePrefix="0" xfId="0">
      <alignment horizontal="center" vertical="center" textRotation="90" wrapText="1"/>
    </xf>
    <xf numFmtId="0" fontId="9" fillId="0" borderId="41" pivotButton="0" quotePrefix="0" xfId="0"/>
    <xf numFmtId="0" fontId="9" fillId="0" borderId="42" pivotButton="0" quotePrefix="0" xfId="0"/>
    <xf numFmtId="0" fontId="9" fillId="0" borderId="51" pivotButton="0" quotePrefix="0" xfId="0"/>
    <xf numFmtId="0" fontId="12" fillId="3" borderId="23" applyAlignment="1" pivotButton="0" quotePrefix="0" xfId="0">
      <alignment horizontal="left" vertical="center" wrapText="1"/>
    </xf>
    <xf numFmtId="164" fontId="13" fillId="3" borderId="23" applyAlignment="1" pivotButton="0" quotePrefix="0" xfId="0">
      <alignment horizontal="center"/>
    </xf>
    <xf numFmtId="164" fontId="15" fillId="4" borderId="20" applyAlignment="1" pivotButton="0" quotePrefix="0" xfId="0">
      <alignment horizontal="right"/>
    </xf>
    <xf numFmtId="0" fontId="27" fillId="0" borderId="21" pivotButton="0" quotePrefix="0" xfId="0"/>
    <xf numFmtId="0" fontId="27" fillId="0" borderId="57" pivotButton="0" quotePrefix="0" xfId="0"/>
    <xf numFmtId="0" fontId="27" fillId="0" borderId="30" pivotButton="0" quotePrefix="0" xfId="0"/>
    <xf numFmtId="0" fontId="18" fillId="4" borderId="55" applyAlignment="1" pivotButton="0" quotePrefix="0" xfId="0">
      <alignment horizontal="left" vertical="center" wrapText="1"/>
    </xf>
    <xf numFmtId="0" fontId="12" fillId="3" borderId="28" applyAlignment="1" pivotButton="0" quotePrefix="0" xfId="0">
      <alignment horizontal="left" vertical="center"/>
    </xf>
    <xf numFmtId="0" fontId="23" fillId="0" borderId="26" pivotButton="0" quotePrefix="0" xfId="0"/>
    <xf numFmtId="0" fontId="12" fillId="4" borderId="23" applyAlignment="1" pivotButton="0" quotePrefix="0" xfId="0">
      <alignment horizontal="left" vertical="center"/>
    </xf>
    <xf numFmtId="0" fontId="12" fillId="4" borderId="20" applyAlignment="1" pivotButton="0" quotePrefix="0" xfId="0">
      <alignment horizontal="left" vertical="center"/>
    </xf>
    <xf numFmtId="0" fontId="18" fillId="2" borderId="28" applyAlignment="1" pivotButton="0" quotePrefix="0" xfId="0">
      <alignment horizontal="left" vertical="center" wrapText="1"/>
    </xf>
    <xf numFmtId="0" fontId="20" fillId="0" borderId="43" applyAlignment="1" pivotButton="0" quotePrefix="0" xfId="0">
      <alignment horizontal="center" wrapText="1"/>
    </xf>
    <xf numFmtId="0" fontId="20" fillId="0" borderId="27" applyAlignment="1" pivotButton="0" quotePrefix="0" xfId="0">
      <alignment horizontal="center" wrapText="1"/>
    </xf>
    <xf numFmtId="0" fontId="20" fillId="0" borderId="29" applyAlignment="1" pivotButton="0" quotePrefix="0" xfId="0">
      <alignment horizontal="center" wrapText="1"/>
    </xf>
    <xf numFmtId="0" fontId="20" fillId="0" borderId="55" applyAlignment="1" pivotButton="0" quotePrefix="0" xfId="0">
      <alignment horizontal="center" wrapText="1"/>
    </xf>
    <xf numFmtId="0" fontId="20" fillId="0" borderId="56" applyAlignment="1" pivotButton="0" quotePrefix="0" xfId="0">
      <alignment horizontal="center" wrapText="1"/>
    </xf>
    <xf numFmtId="0" fontId="20" fillId="0" borderId="24" applyAlignment="1" pivotButton="0" quotePrefix="0" xfId="0">
      <alignment horizontal="center" wrapText="1"/>
    </xf>
    <xf numFmtId="0" fontId="8" fillId="0" borderId="55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0" fontId="8" fillId="0" borderId="57" applyAlignment="1" pivotButton="0" quotePrefix="0" xfId="0">
      <alignment horizontal="center"/>
    </xf>
    <xf numFmtId="0" fontId="22" fillId="4" borderId="45" applyAlignment="1" pivotButton="0" quotePrefix="0" xfId="0">
      <alignment horizontal="center"/>
    </xf>
    <xf numFmtId="0" fontId="22" fillId="4" borderId="57" applyAlignment="1" pivotButton="0" quotePrefix="0" xfId="0">
      <alignment horizontal="center"/>
    </xf>
    <xf numFmtId="0" fontId="22" fillId="4" borderId="30" applyAlignment="1" pivotButton="0" quotePrefix="0" xfId="0">
      <alignment horizontal="center"/>
    </xf>
    <xf numFmtId="164" fontId="15" fillId="0" borderId="34" applyAlignment="1" pivotButton="0" quotePrefix="0" xfId="0">
      <alignment horizontal="center"/>
    </xf>
    <xf numFmtId="164" fontId="15" fillId="0" borderId="31" applyAlignment="1" pivotButton="0" quotePrefix="0" xfId="0">
      <alignment horizontal="center"/>
    </xf>
    <xf numFmtId="164" fontId="15" fillId="0" borderId="36" applyAlignment="1" pivotButton="0" quotePrefix="0" xfId="0">
      <alignment horizontal="center"/>
    </xf>
    <xf numFmtId="0" fontId="17" fillId="4" borderId="55" applyAlignment="1" pivotButton="0" quotePrefix="0" xfId="0">
      <alignment horizontal="center" vertical="center"/>
    </xf>
    <xf numFmtId="0" fontId="17" fillId="4" borderId="56" applyAlignment="1" pivotButton="0" quotePrefix="0" xfId="0">
      <alignment horizontal="center" vertical="center"/>
    </xf>
    <xf numFmtId="0" fontId="17" fillId="4" borderId="24" applyAlignment="1" pivotButton="0" quotePrefix="0" xfId="0">
      <alignment horizontal="center" vertical="center"/>
    </xf>
    <xf numFmtId="0" fontId="25" fillId="0" borderId="43" applyAlignment="1" pivotButton="0" quotePrefix="0" xfId="0">
      <alignment horizontal="center" vertical="top"/>
    </xf>
    <xf numFmtId="0" fontId="25" fillId="0" borderId="27" applyAlignment="1" pivotButton="0" quotePrefix="0" xfId="0">
      <alignment horizontal="center" vertical="top"/>
    </xf>
    <xf numFmtId="0" fontId="25" fillId="0" borderId="29" applyAlignment="1" pivotButton="0" quotePrefix="0" xfId="0">
      <alignment horizontal="center" vertical="top"/>
    </xf>
    <xf numFmtId="0" fontId="25" fillId="0" borderId="55" applyAlignment="1" pivotButton="0" quotePrefix="0" xfId="0">
      <alignment horizontal="center" vertical="top"/>
    </xf>
    <xf numFmtId="0" fontId="25" fillId="0" borderId="56" applyAlignment="1" pivotButton="0" quotePrefix="0" xfId="0">
      <alignment horizontal="center" vertical="top"/>
    </xf>
    <xf numFmtId="0" fontId="25" fillId="0" borderId="24" applyAlignment="1" pivotButton="0" quotePrefix="0" xfId="0">
      <alignment horizontal="center" vertical="top"/>
    </xf>
    <xf numFmtId="0" fontId="25" fillId="0" borderId="45" applyAlignment="1" pivotButton="0" quotePrefix="0" xfId="0">
      <alignment horizontal="center" vertical="top"/>
    </xf>
    <xf numFmtId="0" fontId="25" fillId="0" borderId="57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164" fontId="19" fillId="4" borderId="20" applyAlignment="1" pivotButton="0" quotePrefix="0" xfId="0">
      <alignment horizontal="center" vertical="center"/>
    </xf>
    <xf numFmtId="0" fontId="20" fillId="4" borderId="23" applyAlignment="1" pivotButton="0" quotePrefix="0" xfId="0">
      <alignment horizontal="left" vertical="center"/>
    </xf>
    <xf numFmtId="0" fontId="24" fillId="0" borderId="9" pivotButton="0" quotePrefix="0" xfId="0"/>
    <xf numFmtId="0" fontId="20" fillId="4" borderId="28" applyAlignment="1" pivotButton="0" quotePrefix="0" xfId="0">
      <alignment horizontal="left" vertical="center" wrapText="1"/>
    </xf>
    <xf numFmtId="0" fontId="18" fillId="0" borderId="44" applyAlignment="1" pivotButton="0" quotePrefix="0" xfId="0">
      <alignment horizontal="center" vertical="center" textRotation="90" wrapText="1"/>
    </xf>
    <xf numFmtId="0" fontId="9" fillId="0" borderId="44" pivotButton="0" quotePrefix="0" xfId="0"/>
    <xf numFmtId="0" fontId="17" fillId="2" borderId="4" applyAlignment="1" pivotButton="0" quotePrefix="0" xfId="0">
      <alignment horizontal="center" vertical="center" textRotation="90" wrapText="1"/>
    </xf>
    <xf numFmtId="0" fontId="20" fillId="2" borderId="4" applyAlignment="1" pivotButton="0" quotePrefix="0" xfId="0">
      <alignment horizontal="center" vertical="center" textRotation="90" wrapText="1"/>
    </xf>
    <xf numFmtId="0" fontId="23" fillId="0" borderId="6" pivotButton="0" quotePrefix="0" xfId="0"/>
    <xf numFmtId="0" fontId="23" fillId="0" borderId="12" pivotButton="0" quotePrefix="0" xfId="0"/>
    <xf numFmtId="0" fontId="23" fillId="0" borderId="13" pivotButton="0" quotePrefix="0" xfId="0"/>
    <xf numFmtId="0" fontId="23" fillId="0" borderId="18" pivotButton="0" quotePrefix="0" xfId="0"/>
    <xf numFmtId="0" fontId="23" fillId="0" borderId="19" pivotButton="0" quotePrefix="0" xfId="0"/>
    <xf numFmtId="0" fontId="12" fillId="3" borderId="23" applyAlignment="1" pivotButton="0" quotePrefix="0" xfId="0">
      <alignment horizontal="left" vertical="center"/>
    </xf>
    <xf numFmtId="0" fontId="20" fillId="4" borderId="20" applyAlignment="1" pivotButton="0" quotePrefix="0" xfId="0">
      <alignment horizontal="left" vertical="center" wrapText="1"/>
    </xf>
    <xf numFmtId="0" fontId="11" fillId="0" borderId="6" pivotButton="0" quotePrefix="0" xfId="0"/>
    <xf numFmtId="0" fontId="11" fillId="0" borderId="12" pivotButton="0" quotePrefix="0" xfId="0"/>
    <xf numFmtId="0" fontId="11" fillId="0" borderId="13" pivotButton="0" quotePrefix="0" xfId="0"/>
    <xf numFmtId="0" fontId="11" fillId="0" borderId="18" pivotButton="0" quotePrefix="0" xfId="0"/>
    <xf numFmtId="0" fontId="11" fillId="0" borderId="19" pivotButton="0" quotePrefix="0" xfId="0"/>
    <xf numFmtId="0" fontId="12" fillId="4" borderId="55" applyAlignment="1" pivotButton="0" quotePrefix="0" xfId="0">
      <alignment horizontal="left" vertical="center" wrapText="1"/>
    </xf>
    <xf numFmtId="0" fontId="23" fillId="0" borderId="56" pivotButton="0" quotePrefix="0" xfId="0"/>
    <xf numFmtId="166" fontId="13" fillId="4" borderId="55" pivotButton="0" quotePrefix="0" xfId="0"/>
    <xf numFmtId="0" fontId="12" fillId="3" borderId="55" applyAlignment="1" pivotButton="0" quotePrefix="0" xfId="0">
      <alignment horizontal="left" vertical="center" wrapText="1"/>
    </xf>
    <xf numFmtId="0" fontId="12" fillId="3" borderId="55" applyAlignment="1" pivotButton="0" quotePrefix="0" xfId="0">
      <alignment horizontal="left" vertical="center"/>
    </xf>
    <xf numFmtId="164" fontId="13" fillId="3" borderId="55" pivotButton="0" quotePrefix="0" xfId="0"/>
    <xf numFmtId="164" fontId="15" fillId="3" borderId="45" applyAlignment="1" pivotButton="0" quotePrefix="0" xfId="0">
      <alignment horizontal="right"/>
    </xf>
    <xf numFmtId="0" fontId="20" fillId="3" borderId="45" applyAlignment="1" pivotButton="0" quotePrefix="0" xfId="0">
      <alignment horizontal="left" vertical="center" wrapText="1"/>
    </xf>
    <xf numFmtId="0" fontId="23" fillId="0" borderId="57" pivotButton="0" quotePrefix="0" xfId="0"/>
    <xf numFmtId="164" fontId="13" fillId="4" borderId="23" applyAlignment="1" pivotButton="0" quotePrefix="0" xfId="0">
      <alignment horizontal="center"/>
    </xf>
    <xf numFmtId="164" fontId="13" fillId="4" borderId="55" applyAlignment="1" pivotButton="0" quotePrefix="0" xfId="0">
      <alignment horizontal="right"/>
    </xf>
    <xf numFmtId="0" fontId="20" fillId="3" borderId="43" applyAlignment="1" pivotButton="0" quotePrefix="0" xfId="0">
      <alignment horizontal="center" vertical="center" textRotation="90"/>
    </xf>
    <xf numFmtId="0" fontId="20" fillId="3" borderId="29" applyAlignment="1" pivotButton="0" quotePrefix="0" xfId="0">
      <alignment horizontal="center" vertical="center" textRotation="90"/>
    </xf>
    <xf numFmtId="0" fontId="20" fillId="3" borderId="55" applyAlignment="1" pivotButton="0" quotePrefix="0" xfId="0">
      <alignment horizontal="center" vertical="center" textRotation="90"/>
    </xf>
    <xf numFmtId="0" fontId="20" fillId="3" borderId="24" applyAlignment="1" pivotButton="0" quotePrefix="0" xfId="0">
      <alignment horizontal="center" vertical="center" textRotation="90"/>
    </xf>
    <xf numFmtId="0" fontId="20" fillId="3" borderId="45" applyAlignment="1" pivotButton="0" quotePrefix="0" xfId="0">
      <alignment horizontal="center" vertical="center" textRotation="90"/>
    </xf>
    <xf numFmtId="0" fontId="20" fillId="3" borderId="30" applyAlignment="1" pivotButton="0" quotePrefix="0" xfId="0">
      <alignment horizontal="center" vertical="center" textRotation="90"/>
    </xf>
    <xf numFmtId="0" fontId="13" fillId="0" borderId="58" applyAlignment="1" pivotButton="0" quotePrefix="0" xfId="0">
      <alignment horizontal="center"/>
    </xf>
    <xf numFmtId="0" fontId="9" fillId="0" borderId="58" pivotButton="0" quotePrefix="0" xfId="0"/>
    <xf numFmtId="0" fontId="13" fillId="2" borderId="64" applyAlignment="1" pivotButton="0" quotePrefix="0" xfId="0">
      <alignment horizontal="center"/>
    </xf>
    <xf numFmtId="0" fontId="13" fillId="2" borderId="65" applyAlignment="1" pivotButton="0" quotePrefix="0" xfId="0">
      <alignment horizontal="center"/>
    </xf>
    <xf numFmtId="0" fontId="13" fillId="2" borderId="66" applyAlignment="1" pivotButton="0" quotePrefix="0" xfId="0">
      <alignment horizontal="center"/>
    </xf>
    <xf numFmtId="0" fontId="4" fillId="0" borderId="62" applyAlignment="1" pivotButton="0" quotePrefix="0" xfId="0">
      <alignment horizontal="center"/>
    </xf>
    <xf numFmtId="0" fontId="4" fillId="0" borderId="56" applyAlignment="1" pivotButton="0" quotePrefix="0" xfId="0">
      <alignment horizontal="center"/>
    </xf>
    <xf numFmtId="0" fontId="4" fillId="0" borderId="63" applyAlignment="1" pivotButton="0" quotePrefix="0" xfId="0">
      <alignment horizontal="center"/>
    </xf>
    <xf numFmtId="0" fontId="2" fillId="3" borderId="45" applyAlignment="1" pivotButton="0" quotePrefix="0" xfId="0">
      <alignment horizontal="center"/>
    </xf>
    <xf numFmtId="0" fontId="2" fillId="3" borderId="57" applyAlignment="1" pivotButton="0" quotePrefix="0" xfId="0">
      <alignment horizontal="center"/>
    </xf>
    <xf numFmtId="0" fontId="3" fillId="3" borderId="59" applyAlignment="1" pivotButton="0" quotePrefix="0" xfId="0">
      <alignment horizontal="left" vertical="top"/>
    </xf>
    <xf numFmtId="0" fontId="3" fillId="3" borderId="67" applyAlignment="1" pivotButton="0" quotePrefix="0" xfId="0">
      <alignment horizontal="left" vertical="center"/>
    </xf>
    <xf numFmtId="0" fontId="9" fillId="0" borderId="68" applyAlignment="1" pivotButton="0" quotePrefix="0" xfId="0">
      <alignment horizontal="center"/>
    </xf>
    <xf numFmtId="0" fontId="3" fillId="3" borderId="60" applyAlignment="1" pivotButton="0" quotePrefix="0" xfId="0">
      <alignment horizontal="center" vertical="top"/>
    </xf>
    <xf numFmtId="164" fontId="15" fillId="4" borderId="23" applyAlignment="1" pivotButton="0" quotePrefix="0" xfId="0">
      <alignment horizontal="right"/>
    </xf>
    <xf numFmtId="164" fontId="13" fillId="3" borderId="20" applyAlignment="1" pivotButton="0" quotePrefix="0" xfId="0">
      <alignment horizontal="center"/>
    </xf>
    <xf numFmtId="0" fontId="12" fillId="4" borderId="28" applyAlignment="1" pivotButton="0" quotePrefix="0" xfId="0">
      <alignment horizontal="left" vertical="center" wrapText="1"/>
    </xf>
    <xf numFmtId="0" fontId="23" fillId="0" borderId="29" pivotButton="0" quotePrefix="0" xfId="0"/>
    <xf numFmtId="164" fontId="13" fillId="3" borderId="20" applyAlignment="1" pivotButton="0" quotePrefix="0" xfId="0">
      <alignment horizontal="right"/>
    </xf>
    <xf numFmtId="0" fontId="12" fillId="4" borderId="56" applyAlignment="1" pivotButton="0" quotePrefix="0" xfId="0">
      <alignment horizontal="left" vertical="center" wrapText="1"/>
    </xf>
    <xf numFmtId="0" fontId="20" fillId="3" borderId="65" applyAlignment="1" pivotButton="0" quotePrefix="0" xfId="0">
      <alignment horizontal="left" vertical="center" wrapText="1"/>
    </xf>
    <xf numFmtId="0" fontId="23" fillId="0" borderId="65" pivotButton="0" quotePrefix="0" xfId="0"/>
    <xf numFmtId="0" fontId="12" fillId="4" borderId="67" applyAlignment="1" pivotButton="0" quotePrefix="0" xfId="0">
      <alignment horizontal="left" vertical="center" wrapText="1"/>
    </xf>
    <xf numFmtId="0" fontId="23" fillId="0" borderId="60" pivotButton="0" quotePrefix="0" xfId="0"/>
    <xf numFmtId="0" fontId="23" fillId="0" borderId="70" pivotButton="0" quotePrefix="0" xfId="0"/>
    <xf numFmtId="0" fontId="23" fillId="0" borderId="10" pivotButton="0" quotePrefix="0" xfId="0"/>
    <xf numFmtId="0" fontId="12" fillId="4" borderId="28" applyAlignment="1" pivotButton="0" quotePrefix="0" xfId="0">
      <alignment horizontal="left" vertical="center"/>
    </xf>
    <xf numFmtId="0" fontId="12" fillId="2" borderId="62" applyAlignment="1" pivotButton="0" quotePrefix="0" xfId="0">
      <alignment horizontal="left" vertical="top" wrapText="1"/>
    </xf>
    <xf numFmtId="0" fontId="9" fillId="0" borderId="63" pivotButton="0" quotePrefix="0" xfId="0"/>
    <xf numFmtId="0" fontId="9" fillId="0" borderId="62" pivotButton="0" quotePrefix="0" xfId="0"/>
    <xf numFmtId="0" fontId="7" fillId="0" borderId="56" pivotButton="0" quotePrefix="0" xfId="0"/>
    <xf numFmtId="0" fontId="9" fillId="0" borderId="64" pivotButton="0" quotePrefix="0" xfId="0"/>
    <xf numFmtId="0" fontId="9" fillId="0" borderId="65" pivotButton="0" quotePrefix="0" xfId="0"/>
    <xf numFmtId="0" fontId="9" fillId="0" borderId="66" pivotButton="0" quotePrefix="0" xfId="0"/>
    <xf numFmtId="0" fontId="7" fillId="3" borderId="43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16" fillId="3" borderId="45" applyAlignment="1" pivotButton="0" quotePrefix="0" xfId="0">
      <alignment horizontal="center" wrapText="1"/>
    </xf>
    <xf numFmtId="0" fontId="16" fillId="3" borderId="30" applyAlignment="1" pivotButton="0" quotePrefix="0" xfId="0">
      <alignment horizontal="center" wrapText="1"/>
    </xf>
    <xf numFmtId="0" fontId="12" fillId="0" borderId="62" applyAlignment="1" pivotButton="0" quotePrefix="0" xfId="0">
      <alignment horizontal="center"/>
    </xf>
    <xf numFmtId="0" fontId="20" fillId="3" borderId="43" applyAlignment="1" pivotButton="0" quotePrefix="0" xfId="0">
      <alignment horizontal="center" vertical="center" textRotation="90" wrapText="1"/>
    </xf>
    <xf numFmtId="0" fontId="20" fillId="3" borderId="29" applyAlignment="1" pivotButton="0" quotePrefix="0" xfId="0">
      <alignment horizontal="center" vertical="center" textRotation="90" wrapText="1"/>
    </xf>
    <xf numFmtId="0" fontId="20" fillId="3" borderId="55" applyAlignment="1" pivotButton="0" quotePrefix="0" xfId="0">
      <alignment horizontal="center" vertical="center" textRotation="90" wrapText="1"/>
    </xf>
    <xf numFmtId="0" fontId="20" fillId="3" borderId="24" applyAlignment="1" pivotButton="0" quotePrefix="0" xfId="0">
      <alignment horizontal="center" vertical="center" textRotation="90" wrapText="1"/>
    </xf>
    <xf numFmtId="0" fontId="20" fillId="3" borderId="45" applyAlignment="1" pivotButton="0" quotePrefix="0" xfId="0">
      <alignment horizontal="center" vertical="center" textRotation="90" wrapText="1"/>
    </xf>
    <xf numFmtId="0" fontId="20" fillId="3" borderId="30" applyAlignment="1" pivotButton="0" quotePrefix="0" xfId="0">
      <alignment horizontal="center" vertical="center" textRotation="90" wrapText="1"/>
    </xf>
    <xf numFmtId="164" fontId="13" fillId="3" borderId="67" applyAlignment="1" pivotButton="0" quotePrefix="0" xfId="0">
      <alignment horizontal="right"/>
    </xf>
    <xf numFmtId="0" fontId="9" fillId="0" borderId="60" pivotButton="0" quotePrefix="0" xfId="0"/>
    <xf numFmtId="0" fontId="9" fillId="0" borderId="61" pivotButton="0" quotePrefix="0" xfId="0"/>
    <xf numFmtId="0" fontId="12" fillId="3" borderId="56" applyAlignment="1" pivotButton="0" quotePrefix="0" xfId="0">
      <alignment vertical="center" wrapText="1"/>
    </xf>
    <xf numFmtId="0" fontId="12" fillId="4" borderId="56" applyAlignment="1" pivotButton="0" quotePrefix="0" xfId="0">
      <alignment horizontal="left"/>
    </xf>
    <xf numFmtId="0" fontId="5" fillId="4" borderId="23" applyAlignment="1" pivotButton="0" quotePrefix="0" xfId="0">
      <alignment horizontal="center"/>
    </xf>
    <xf numFmtId="0" fontId="12" fillId="3" borderId="60" applyAlignment="1" pivotButton="0" quotePrefix="0" xfId="0">
      <alignment horizontal="left" vertical="center" wrapText="1"/>
    </xf>
    <xf numFmtId="164" fontId="13" fillId="4" borderId="63" applyAlignment="1" pivotButton="0" quotePrefix="0" xfId="0">
      <alignment horizontal="center"/>
    </xf>
    <xf numFmtId="0" fontId="7" fillId="5" borderId="0" pivotButton="0" quotePrefix="0" xfId="0"/>
    <xf numFmtId="0" fontId="18" fillId="4" borderId="55" applyAlignment="1" pivotButton="0" quotePrefix="0" xfId="0">
      <alignment horizontal="left" vertical="top"/>
    </xf>
    <xf numFmtId="0" fontId="18" fillId="4" borderId="56" applyAlignment="1" pivotButton="0" quotePrefix="0" xfId="0">
      <alignment horizontal="left" vertical="top"/>
    </xf>
    <xf numFmtId="0" fontId="18" fillId="4" borderId="24" applyAlignment="1" pivotButton="0" quotePrefix="0" xfId="0">
      <alignment horizontal="left" vertical="top"/>
    </xf>
    <xf numFmtId="0" fontId="18" fillId="4" borderId="56" applyAlignment="1" pivotButton="0" quotePrefix="0" xfId="0">
      <alignment horizontal="left" vertical="center" wrapText="1"/>
    </xf>
    <xf numFmtId="0" fontId="18" fillId="4" borderId="24" applyAlignment="1" pivotButton="0" quotePrefix="0" xfId="0">
      <alignment horizontal="left" vertical="center" wrapText="1"/>
    </xf>
    <xf numFmtId="0" fontId="0" fillId="0" borderId="74" pivotButton="0" quotePrefix="0" xfId="0"/>
    <xf numFmtId="0" fontId="26" fillId="0" borderId="84" applyAlignment="1" pivotButton="0" quotePrefix="0" xfId="0">
      <alignment horizontal="center" vertical="center"/>
    </xf>
    <xf numFmtId="0" fontId="0" fillId="0" borderId="75" pivotButton="0" quotePrefix="0" xfId="0"/>
    <xf numFmtId="0" fontId="10" fillId="3" borderId="5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9" pivotButton="0" quotePrefix="0" xfId="0"/>
    <xf numFmtId="0" fontId="0" fillId="0" borderId="78" pivotButton="0" quotePrefix="0" xfId="0"/>
    <xf numFmtId="0" fontId="0" fillId="0" borderId="63" pivotButton="0" quotePrefix="0" xfId="0"/>
    <xf numFmtId="0" fontId="12" fillId="2" borderId="77" applyAlignment="1" pivotButton="0" quotePrefix="0" xfId="0">
      <alignment horizontal="left" vertical="top" wrapText="1"/>
    </xf>
    <xf numFmtId="0" fontId="4" fillId="0" borderId="82" applyAlignment="1" pivotButton="0" quotePrefix="0" xfId="0">
      <alignment horizontal="center"/>
    </xf>
    <xf numFmtId="0" fontId="0" fillId="0" borderId="62" pivotButton="0" quotePrefix="0" xfId="0"/>
    <xf numFmtId="0" fontId="13" fillId="2" borderId="77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0" fillId="0" borderId="64" pivotButton="0" quotePrefix="0" xfId="0"/>
    <xf numFmtId="0" fontId="2" fillId="3" borderId="85" applyAlignment="1" pivotButton="0" quotePrefix="0" xfId="0">
      <alignment horizontal="center" vertical="center" textRotation="90" wrapText="1"/>
    </xf>
    <xf numFmtId="0" fontId="0" fillId="0" borderId="60" pivotButton="0" quotePrefix="0" xfId="0"/>
    <xf numFmtId="0" fontId="0" fillId="0" borderId="70" pivotButton="0" quotePrefix="0" xfId="0"/>
    <xf numFmtId="0" fontId="0" fillId="0" borderId="51" pivotButton="0" quotePrefix="0" xfId="0"/>
    <xf numFmtId="0" fontId="0" fillId="0" borderId="57" pivotButton="0" quotePrefix="0" xfId="0"/>
    <xf numFmtId="0" fontId="7" fillId="0" borderId="79" applyAlignment="1" pivotButton="0" quotePrefix="0" xfId="0">
      <alignment horizontal="center"/>
    </xf>
    <xf numFmtId="0" fontId="0" fillId="0" borderId="69" pivotButton="0" quotePrefix="0" xfId="0"/>
    <xf numFmtId="0" fontId="5" fillId="0" borderId="79" applyAlignment="1" pivotButton="0" quotePrefix="0" xfId="0">
      <alignment horizontal="center"/>
    </xf>
    <xf numFmtId="0" fontId="0" fillId="0" borderId="30" pivotButton="0" quotePrefix="0" xfId="0"/>
    <xf numFmtId="0" fontId="1" fillId="3" borderId="50" applyAlignment="1" pivotButton="0" quotePrefix="0" xfId="0">
      <alignment horizontal="left" vertical="center"/>
    </xf>
    <xf numFmtId="0" fontId="7" fillId="3" borderId="50" applyAlignment="1" pivotButton="0" quotePrefix="0" xfId="0">
      <alignment horizontal="left" vertical="center" wrapText="1"/>
    </xf>
    <xf numFmtId="0" fontId="0" fillId="0" borderId="46" pivotButton="0" quotePrefix="0" xfId="0"/>
    <xf numFmtId="0" fontId="15" fillId="3" borderId="46" applyAlignment="1" pivotButton="0" quotePrefix="0" xfId="0">
      <alignment horizontal="left" vertical="center"/>
    </xf>
    <xf numFmtId="0" fontId="16" fillId="3" borderId="46" applyAlignment="1" pivotButton="0" quotePrefix="0" xfId="0">
      <alignment horizontal="center" wrapText="1"/>
    </xf>
    <xf numFmtId="0" fontId="0" fillId="0" borderId="24" pivotButton="0" quotePrefix="0" xfId="0"/>
    <xf numFmtId="0" fontId="17" fillId="2" borderId="34" applyAlignment="1" pivotButton="0" quotePrefix="0" xfId="0">
      <alignment horizontal="center" vertical="center" textRotation="90" wrapText="1"/>
    </xf>
    <xf numFmtId="0" fontId="12" fillId="4" borderId="43" applyAlignment="1" pivotButton="0" quotePrefix="0" xfId="0">
      <alignment horizontal="left" vertical="center"/>
    </xf>
    <xf numFmtId="164" fontId="13" fillId="4" borderId="51" applyAlignment="1" pivotButton="0" quotePrefix="0" xfId="0">
      <alignment horizontal="right"/>
    </xf>
    <xf numFmtId="0" fontId="17" fillId="2" borderId="56" applyAlignment="1" pivotButton="0" quotePrefix="0" xfId="0">
      <alignment horizontal="center" vertical="center" textRotation="90" wrapText="1"/>
    </xf>
    <xf numFmtId="0" fontId="20" fillId="3" borderId="35" applyAlignment="1" pivotButton="0" quotePrefix="0" xfId="0">
      <alignment horizontal="center" vertical="center" textRotation="90" wrapText="1"/>
    </xf>
    <xf numFmtId="0" fontId="0" fillId="0" borderId="55" pivotButton="0" quotePrefix="0" xfId="0"/>
    <xf numFmtId="164" fontId="13" fillId="3" borderId="51" applyAlignment="1" pivotButton="0" quotePrefix="0" xfId="0">
      <alignment horizontal="right"/>
    </xf>
    <xf numFmtId="0" fontId="5" fillId="4" borderId="51" applyAlignment="1" pivotButton="0" quotePrefix="0" xfId="0">
      <alignment horizontal="center"/>
    </xf>
    <xf numFmtId="164" fontId="13" fillId="3" borderId="80" applyAlignment="1" pivotButton="0" quotePrefix="0" xfId="0">
      <alignment horizontal="right"/>
    </xf>
    <xf numFmtId="0" fontId="0" fillId="0" borderId="61" pivotButton="0" quotePrefix="0" xfId="0"/>
    <xf numFmtId="0" fontId="12" fillId="4" borderId="55" applyAlignment="1" pivotButton="0" quotePrefix="0" xfId="0">
      <alignment horizontal="left" vertical="center"/>
    </xf>
    <xf numFmtId="164" fontId="13" fillId="4" borderId="81" applyAlignment="1" pivotButton="0" quotePrefix="0" xfId="0">
      <alignment horizontal="center"/>
    </xf>
    <xf numFmtId="0" fontId="0" fillId="0" borderId="45" pivotButton="0" quotePrefix="0" xfId="0"/>
    <xf numFmtId="164" fontId="15" fillId="3" borderId="83" applyAlignment="1" pivotButton="0" quotePrefix="0" xfId="0">
      <alignment horizontal="center"/>
    </xf>
    <xf numFmtId="0" fontId="20" fillId="3" borderId="35" applyAlignment="1" pivotButton="0" quotePrefix="0" xfId="0">
      <alignment horizontal="center" vertical="center" textRotation="90"/>
    </xf>
    <xf numFmtId="0" fontId="12" fillId="4" borderId="72" applyAlignment="1" pivotButton="0" quotePrefix="0" xfId="0">
      <alignment horizontal="left" vertical="center" wrapText="1"/>
    </xf>
    <xf numFmtId="164" fontId="13" fillId="4" borderId="72" applyAlignment="1" pivotButton="0" quotePrefix="0" xfId="0">
      <alignment horizontal="center"/>
    </xf>
    <xf numFmtId="0" fontId="12" fillId="3" borderId="51" applyAlignment="1" pivotButton="0" quotePrefix="0" xfId="0">
      <alignment horizontal="left" vertical="center" wrapText="1"/>
    </xf>
    <xf numFmtId="164" fontId="13" fillId="3" borderId="51" applyAlignment="1" pivotButton="0" quotePrefix="0" xfId="0">
      <alignment horizontal="center"/>
    </xf>
    <xf numFmtId="0" fontId="12" fillId="4" borderId="51" applyAlignment="1" pivotButton="0" quotePrefix="0" xfId="0">
      <alignment horizontal="left" vertical="center" wrapText="1"/>
    </xf>
    <xf numFmtId="164" fontId="13" fillId="4" borderId="51" applyAlignment="1" pivotButton="0" quotePrefix="0" xfId="0">
      <alignment horizontal="center"/>
    </xf>
    <xf numFmtId="165" fontId="13" fillId="4" borderId="51" applyAlignment="1" pivotButton="0" quotePrefix="0" xfId="0">
      <alignment horizontal="center"/>
    </xf>
    <xf numFmtId="164" fontId="13" fillId="3" borderId="51" pivotButton="0" quotePrefix="0" xfId="0"/>
    <xf numFmtId="166" fontId="13" fillId="4" borderId="51" pivotButton="0" quotePrefix="0" xfId="0"/>
    <xf numFmtId="0" fontId="20" fillId="4" borderId="55" applyAlignment="1" pivotButton="0" quotePrefix="0" xfId="0">
      <alignment horizontal="left" vertical="center"/>
    </xf>
    <xf numFmtId="164" fontId="15" fillId="4" borderId="51" applyAlignment="1" pivotButton="0" quotePrefix="0" xfId="0">
      <alignment horizontal="right"/>
    </xf>
    <xf numFmtId="0" fontId="20" fillId="3" borderId="46" applyAlignment="1" pivotButton="0" quotePrefix="0" xfId="0">
      <alignment horizontal="left" vertical="center" wrapText="1"/>
    </xf>
    <xf numFmtId="164" fontId="15" fillId="3" borderId="46" applyAlignment="1" pivotButton="0" quotePrefix="0" xfId="0">
      <alignment horizontal="right"/>
    </xf>
    <xf numFmtId="0" fontId="20" fillId="4" borderId="45" applyAlignment="1" pivotButton="0" quotePrefix="0" xfId="0">
      <alignment horizontal="left" vertical="center" wrapText="1"/>
    </xf>
    <xf numFmtId="164" fontId="15" fillId="4" borderId="46" applyAlignment="1" pivotButton="0" quotePrefix="0" xfId="0">
      <alignment horizontal="right"/>
    </xf>
    <xf numFmtId="0" fontId="17" fillId="2" borderId="35" applyAlignment="1" pivotButton="0" quotePrefix="0" xfId="0">
      <alignment horizontal="center" vertical="center" textRotation="90" wrapText="1"/>
    </xf>
    <xf numFmtId="164" fontId="13" fillId="3" borderId="50" applyAlignment="1" pivotButton="0" quotePrefix="0" xfId="0">
      <alignment horizontal="right"/>
    </xf>
    <xf numFmtId="0" fontId="0" fillId="0" borderId="44" pivotButton="0" quotePrefix="0" xfId="0"/>
    <xf numFmtId="0" fontId="12" fillId="3" borderId="46" applyAlignment="1" pivotButton="0" quotePrefix="0" xfId="0">
      <alignment horizontal="left" vertical="center" wrapText="1"/>
    </xf>
    <xf numFmtId="0" fontId="12" fillId="4" borderId="50" applyAlignment="1" pivotButton="0" quotePrefix="0" xfId="0">
      <alignment horizontal="left" vertical="center" wrapText="1"/>
    </xf>
    <xf numFmtId="164" fontId="15" fillId="4" borderId="50" applyAlignment="1" pivotButton="0" quotePrefix="0" xfId="0">
      <alignment horizontal="right"/>
    </xf>
    <xf numFmtId="0" fontId="12" fillId="4" borderId="45" applyAlignment="1" pivotButton="0" quotePrefix="0" xfId="0">
      <alignment horizontal="left" vertical="center"/>
    </xf>
    <xf numFmtId="164" fontId="13" fillId="4" borderId="46" applyAlignment="1" pivotButton="0" quotePrefix="0" xfId="0">
      <alignment horizontal="right"/>
    </xf>
    <xf numFmtId="0" fontId="12" fillId="4" borderId="51" applyAlignment="1" pivotButton="0" quotePrefix="0" xfId="0">
      <alignment horizontal="left" vertical="center"/>
    </xf>
    <xf numFmtId="0" fontId="12" fillId="3" borderId="43" applyAlignment="1" pivotButton="0" quotePrefix="0" xfId="0">
      <alignment horizontal="left" vertical="center"/>
    </xf>
    <xf numFmtId="0" fontId="12" fillId="3" borderId="45" applyAlignment="1" pivotButton="0" quotePrefix="0" xfId="0">
      <alignment horizontal="left" vertical="center" wrapText="1"/>
    </xf>
    <xf numFmtId="164" fontId="13" fillId="3" borderId="46" applyAlignment="1" pivotButton="0" quotePrefix="0" xfId="0">
      <alignment horizontal="right"/>
    </xf>
    <xf numFmtId="164" fontId="13" fillId="3" borderId="46" applyAlignment="1" pivotButton="0" quotePrefix="0" xfId="0">
      <alignment horizontal="center"/>
    </xf>
    <xf numFmtId="0" fontId="20" fillId="4" borderId="43" applyAlignment="1" pivotButton="0" quotePrefix="0" xfId="0">
      <alignment horizontal="left" vertical="center" wrapText="1"/>
    </xf>
    <xf numFmtId="0" fontId="17" fillId="0" borderId="36" applyAlignment="1" pivotButton="0" quotePrefix="0" xfId="0">
      <alignment horizontal="center" vertical="center" textRotation="90" wrapText="1"/>
    </xf>
    <xf numFmtId="0" fontId="12" fillId="4" borderId="49" applyAlignment="1" pivotButton="0" quotePrefix="0" xfId="0">
      <alignment horizontal="left" vertical="center" wrapText="1"/>
    </xf>
    <xf numFmtId="0" fontId="0" fillId="0" borderId="49" pivotButton="0" quotePrefix="0" xfId="0"/>
    <xf numFmtId="164" fontId="13" fillId="4" borderId="50" applyAlignment="1" pivotButton="0" quotePrefix="0" xfId="0">
      <alignment horizontal="right"/>
    </xf>
    <xf numFmtId="0" fontId="20" fillId="2" borderId="35" applyAlignment="1" pivotButton="0" quotePrefix="0" xfId="0">
      <alignment horizontal="center" vertical="center" textRotation="90" wrapText="1"/>
    </xf>
    <xf numFmtId="164" fontId="15" fillId="3" borderId="46" applyAlignment="1" pivotButton="0" quotePrefix="0" xfId="0">
      <alignment horizontal="center"/>
    </xf>
    <xf numFmtId="164" fontId="18" fillId="3" borderId="35" applyAlignment="1" pivotButton="0" quotePrefix="0" xfId="0">
      <alignment horizontal="center" vertical="center" textRotation="90" wrapText="1"/>
    </xf>
    <xf numFmtId="164" fontId="19" fillId="7" borderId="51" applyAlignment="1" pivotButton="0" quotePrefix="0" xfId="0">
      <alignment horizontal="center" vertical="center"/>
    </xf>
    <xf numFmtId="164" fontId="19" fillId="3" borderId="51" applyAlignment="1" pivotButton="0" quotePrefix="0" xfId="0">
      <alignment horizontal="center" vertical="center"/>
    </xf>
    <xf numFmtId="164" fontId="19" fillId="4" borderId="46" applyAlignment="1" pivotButton="0" quotePrefix="0" xfId="0">
      <alignment horizontal="center" vertical="center"/>
    </xf>
    <xf numFmtId="0" fontId="18" fillId="2" borderId="43" applyAlignment="1" pivotButton="0" quotePrefix="0" xfId="0">
      <alignment horizontal="left" vertical="center" wrapText="1"/>
    </xf>
    <xf numFmtId="164" fontId="17" fillId="3" borderId="50" applyAlignment="1" pivotButton="0" quotePrefix="0" xfId="0">
      <alignment horizontal="left" vertical="center" wrapText="1"/>
    </xf>
    <xf numFmtId="164" fontId="17" fillId="3" borderId="3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52" pivotButton="0" quotePrefix="0" xfId="0"/>
    <xf numFmtId="0" fontId="0" fillId="0" borderId="53" pivotButton="0" quotePrefix="0" xfId="0"/>
    <xf numFmtId="0" fontId="20" fillId="0" borderId="50" applyAlignment="1" pivotButton="0" quotePrefix="0" xfId="0">
      <alignment horizontal="center" wrapText="1"/>
    </xf>
    <xf numFmtId="164" fontId="15" fillId="0" borderId="35" applyAlignment="1" pivotButton="0" quotePrefix="0" xfId="0">
      <alignment horizontal="center"/>
    </xf>
    <xf numFmtId="0" fontId="0" fillId="0" borderId="31" pivotButton="0" quotePrefix="0" xfId="0"/>
    <xf numFmtId="0" fontId="25" fillId="0" borderId="35" applyAlignment="1" pivotButton="0" quotePrefix="0" xfId="0">
      <alignment horizontal="center" vertical="top"/>
    </xf>
    <xf numFmtId="0" fontId="18" fillId="4" borderId="51" applyAlignment="1" pivotButton="0" quotePrefix="0" xfId="0">
      <alignment horizontal="left" vertical="center" wrapText="1"/>
    </xf>
    <xf numFmtId="0" fontId="18" fillId="4" borderId="51" applyAlignment="1" pivotButton="0" quotePrefix="0" xfId="0">
      <alignment horizontal="left" vertical="top"/>
    </xf>
    <xf numFmtId="0" fontId="12" fillId="4" borderId="46" applyAlignment="1" pivotButton="0" quotePrefix="0" xfId="0">
      <alignment horizontal="left" vertical="top"/>
    </xf>
    <xf numFmtId="0" fontId="22" fillId="4" borderId="4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98"/>
  <sheetViews>
    <sheetView showGridLines="0" tabSelected="1" topLeftCell="P49" zoomScaleNormal="100" workbookViewId="0">
      <selection activeCell="AE48" sqref="AE48:AN48"/>
    </sheetView>
  </sheetViews>
  <sheetFormatPr baseColWidth="10" defaultColWidth="12.6640625" defaultRowHeight="15" customHeight="1"/>
  <cols>
    <col width="12.6640625" customWidth="1" style="210" min="1" max="1"/>
    <col width="6.88671875" customWidth="1" style="210" min="2" max="2"/>
    <col width="2.33203125" customWidth="1" style="210" min="3" max="3"/>
    <col width="3.88671875" customWidth="1" style="210" min="4" max="4"/>
    <col width="2.33203125" customWidth="1" style="210" min="5" max="9"/>
    <col width="4" customWidth="1" style="210" min="10" max="10"/>
    <col width="3.21875" customWidth="1" style="210" min="11" max="11"/>
    <col width="3.88671875" customWidth="1" style="210" min="12" max="12"/>
    <col width="4.88671875" customWidth="1" style="210" min="13" max="14"/>
    <col width="4.5546875" customWidth="1" style="210" min="15" max="15"/>
    <col width="4.77734375" customWidth="1" style="210" min="16" max="16"/>
    <col width="3.33203125" customWidth="1" style="210" min="17" max="17"/>
    <col width="9.21875" customWidth="1" style="210" min="18" max="18"/>
    <col width="4.21875" customWidth="1" style="210" min="19" max="19"/>
    <col width="2.109375" customWidth="1" style="210" min="20" max="20"/>
    <col width="5.6640625" customWidth="1" style="210" min="21" max="21"/>
    <col width="5.77734375" customWidth="1" style="210" min="22" max="23"/>
    <col width="14.5546875" customWidth="1" style="210" min="24" max="24"/>
    <col width="7.33203125" customWidth="1" style="210" min="25" max="25"/>
    <col width="2.109375" customWidth="1" style="210" min="26" max="26"/>
    <col width="4.77734375" customWidth="1" style="210" min="27" max="27"/>
    <col width="5.88671875" customWidth="1" style="210" min="28" max="28"/>
    <col width="3.109375" customWidth="1" style="210" min="29" max="29"/>
    <col width="3.88671875" customWidth="1" style="210" min="30" max="30"/>
    <col width="3.109375" customWidth="1" style="210" min="31" max="34"/>
    <col width="9.5546875" customWidth="1" style="210" min="35" max="35"/>
    <col width="3.109375" customWidth="1" style="210" min="36" max="37"/>
    <col width="1.77734375" customWidth="1" style="210" min="38" max="38"/>
    <col width="13.77734375" customWidth="1" style="210" min="39" max="39"/>
    <col width="11.88671875" customWidth="1" style="210" min="40" max="40"/>
    <col width="5.6640625" customWidth="1" style="210" min="41" max="41"/>
    <col width="5.5546875" customWidth="1" style="210" min="42" max="42"/>
    <col width="3.44140625" customWidth="1" style="210" min="43" max="43"/>
    <col width="6.44140625" customWidth="1" style="210" min="44" max="44"/>
    <col width="17.88671875" customWidth="1" style="210" min="45" max="45"/>
    <col width="15.33203125" customWidth="1" style="210" min="46" max="46"/>
    <col width="1.6640625" customWidth="1" style="210" min="47" max="47"/>
    <col width="14.33203125" customWidth="1" style="210" min="48" max="48"/>
    <col width="1.77734375" customWidth="1" style="210" min="49" max="66"/>
    <col width="12.6640625" customWidth="1" style="210" min="67" max="16384"/>
  </cols>
  <sheetData>
    <row r="1" ht="12" customHeight="1"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4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6" t="n"/>
      <c r="AN1" s="6" t="n"/>
      <c r="AO1" s="3" t="n"/>
      <c r="AP1" s="3" t="n"/>
      <c r="AQ1" s="3" t="n"/>
      <c r="AR1" s="3" t="n"/>
      <c r="AS1" s="3" t="n"/>
      <c r="AT1" s="3" t="n"/>
      <c r="AU1" s="3" t="n"/>
      <c r="AV1" s="7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</row>
    <row r="2" ht="24.45" customHeight="1" thickBot="1">
      <c r="B2" s="9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1" t="n"/>
      <c r="U2" s="12" t="n"/>
      <c r="V2" s="86" t="n"/>
      <c r="W2" s="12" t="n"/>
      <c r="X2" s="12" t="n"/>
      <c r="Y2" s="12" t="n"/>
      <c r="Z2" s="12" t="n"/>
      <c r="AA2" s="12" t="n"/>
      <c r="AB2" s="12" t="n"/>
      <c r="AC2" s="12" t="n"/>
      <c r="AD2" s="10" t="n"/>
      <c r="AE2" s="10" t="n"/>
      <c r="AF2" s="10" t="n"/>
      <c r="AG2" s="10" t="n"/>
      <c r="AH2" s="10" t="n"/>
      <c r="AI2" s="10" t="n"/>
      <c r="AJ2" s="10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7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</row>
    <row r="3" ht="49.95" customHeight="1" thickBot="1">
      <c r="B3" s="129" t="n"/>
      <c r="C3" s="378" t="n"/>
      <c r="D3" s="378" t="n"/>
      <c r="E3" s="378" t="n"/>
      <c r="F3" s="378" t="n"/>
      <c r="G3" s="378" t="n"/>
      <c r="H3" s="378" t="n"/>
      <c r="I3" s="378" t="n"/>
      <c r="J3" s="378" t="n"/>
      <c r="K3" s="378" t="n"/>
      <c r="L3" s="378" t="n"/>
      <c r="M3" s="378" t="n"/>
      <c r="N3" s="379" t="inlineStr">
        <is>
          <t>Declaración del Impuesto sobre las Ventas - IVA</t>
        </is>
      </c>
      <c r="O3" s="378" t="n"/>
      <c r="P3" s="378" t="n"/>
      <c r="Q3" s="378" t="n"/>
      <c r="R3" s="378" t="n"/>
      <c r="S3" s="378" t="n"/>
      <c r="T3" s="378" t="n"/>
      <c r="U3" s="378" t="n"/>
      <c r="V3" s="378" t="n"/>
      <c r="W3" s="378" t="n"/>
      <c r="X3" s="378" t="n"/>
      <c r="Y3" s="378" t="n"/>
      <c r="Z3" s="378" t="n"/>
      <c r="AA3" s="378" t="n"/>
      <c r="AB3" s="378" t="n"/>
      <c r="AC3" s="378" t="n"/>
      <c r="AD3" s="378" t="n"/>
      <c r="AE3" s="378" t="n"/>
      <c r="AF3" s="378" t="n"/>
      <c r="AG3" s="378" t="n"/>
      <c r="AH3" s="378" t="n"/>
      <c r="AI3" s="378" t="n"/>
      <c r="AJ3" s="378" t="n"/>
      <c r="AK3" s="378" t="n"/>
      <c r="AL3" s="380" t="n"/>
      <c r="AM3" s="381" t="inlineStr">
        <is>
          <t>Privada</t>
        </is>
      </c>
      <c r="AN3" s="382" t="n"/>
      <c r="AO3" s="382" t="n"/>
      <c r="AP3" s="383" t="n"/>
      <c r="AQ3" s="162" t="n"/>
      <c r="AR3" s="382" t="n"/>
      <c r="AS3" s="382" t="n"/>
      <c r="AT3" s="382" t="n"/>
      <c r="AU3" s="383" t="n"/>
      <c r="AV3" s="7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</row>
    <row r="4" ht="3.45" customHeight="1" thickBot="1">
      <c r="B4" s="15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365" t="n"/>
      <c r="N4" s="365" t="n"/>
      <c r="O4" s="365" t="n"/>
      <c r="P4" s="365" t="n"/>
      <c r="Q4" s="365" t="n"/>
      <c r="R4" s="365" t="n"/>
      <c r="S4" s="365" t="n"/>
      <c r="T4" s="365" t="n"/>
      <c r="U4" s="365" t="n"/>
      <c r="V4" s="365" t="n"/>
      <c r="W4" s="365" t="n"/>
      <c r="X4" s="365" t="n"/>
      <c r="Y4" s="365" t="n"/>
      <c r="Z4" s="18" t="n"/>
      <c r="AA4" s="365" t="n"/>
      <c r="AB4" s="365" t="n"/>
      <c r="AC4" s="365" t="n"/>
      <c r="AD4" s="365" t="n"/>
      <c r="AE4" s="365" t="n"/>
      <c r="AF4" s="365" t="n"/>
      <c r="AG4" s="365" t="n"/>
      <c r="AH4" s="365" t="n"/>
      <c r="AI4" s="365" t="n"/>
      <c r="AJ4" s="365" t="n"/>
      <c r="AK4" s="365" t="n"/>
      <c r="AL4" s="365" t="n"/>
      <c r="AM4" s="19" t="n"/>
      <c r="AN4" s="20" t="n"/>
      <c r="AO4" s="20" t="n"/>
      <c r="AP4" s="20" t="n"/>
      <c r="AQ4" s="365" t="n"/>
      <c r="AR4" s="365" t="n"/>
      <c r="AS4" s="365" t="n"/>
      <c r="AT4" s="365" t="n"/>
      <c r="AU4" s="366" t="n"/>
      <c r="AV4" s="7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</row>
    <row r="5" ht="22.5" customHeight="1" thickBot="1">
      <c r="B5" s="357" t="inlineStr">
        <is>
          <t>1. año</t>
        </is>
      </c>
      <c r="E5" s="319" t="n"/>
      <c r="F5" s="384" t="n"/>
      <c r="G5" s="319" t="n"/>
      <c r="H5" s="384" t="n"/>
      <c r="I5" s="319" t="n"/>
      <c r="J5" s="384" t="n"/>
      <c r="K5" s="319" t="n"/>
      <c r="L5" s="384" t="n"/>
      <c r="M5" s="23" t="n"/>
      <c r="N5" s="23" t="n"/>
      <c r="O5" s="23" t="n"/>
      <c r="S5" s="135" t="inlineStr">
        <is>
          <t>3. Periodo</t>
        </is>
      </c>
      <c r="U5" s="385" t="n"/>
      <c r="V5" s="24" t="n"/>
      <c r="W5" s="24" t="n"/>
      <c r="Y5" s="23" t="n"/>
      <c r="Z5" s="386" t="inlineStr">
        <is>
          <t xml:space="preserve">
4. Número de formulario</t>
        </is>
      </c>
      <c r="AU5" s="385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</row>
    <row r="6" ht="20.25" customHeight="1">
      <c r="B6" s="387" t="n"/>
      <c r="Y6" s="385" t="n"/>
      <c r="Z6" s="388" t="n"/>
      <c r="AU6" s="385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</row>
    <row r="7" ht="27.75" customHeight="1">
      <c r="B7" s="388" t="n"/>
      <c r="Y7" s="385" t="n"/>
      <c r="Z7" s="388" t="n"/>
      <c r="AU7" s="385" t="n"/>
      <c r="AV7" s="7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</row>
    <row r="8" ht="33.75" customHeight="1" thickBot="1">
      <c r="B8" s="389" t="inlineStr"/>
      <c r="C8" s="390" t="n"/>
      <c r="D8" s="390" t="n"/>
      <c r="E8" s="390" t="n"/>
      <c r="F8" s="390" t="n"/>
      <c r="G8" s="390" t="n"/>
      <c r="H8" s="390" t="n"/>
      <c r="I8" s="390" t="n"/>
      <c r="J8" s="390" t="n"/>
      <c r="K8" s="390" t="n"/>
      <c r="L8" s="390" t="n"/>
      <c r="M8" s="390" t="n"/>
      <c r="N8" s="390" t="n"/>
      <c r="O8" s="390" t="n"/>
      <c r="P8" s="390" t="n"/>
      <c r="Q8" s="390" t="n"/>
      <c r="R8" s="390" t="n"/>
      <c r="S8" s="390" t="n"/>
      <c r="T8" s="390" t="n"/>
      <c r="U8" s="390" t="n"/>
      <c r="V8" s="390" t="n"/>
      <c r="W8" s="390" t="n"/>
      <c r="X8" s="390" t="n"/>
      <c r="Y8" s="391" t="n"/>
      <c r="Z8" s="392" t="n"/>
      <c r="AA8" s="390" t="n"/>
      <c r="AB8" s="390" t="n"/>
      <c r="AC8" s="390" t="n"/>
      <c r="AD8" s="390" t="n"/>
      <c r="AE8" s="390" t="n"/>
      <c r="AF8" s="390" t="n"/>
      <c r="AG8" s="390" t="n"/>
      <c r="AH8" s="390" t="n"/>
      <c r="AI8" s="390" t="n"/>
      <c r="AJ8" s="390" t="n"/>
      <c r="AK8" s="390" t="n"/>
      <c r="AL8" s="390" t="n"/>
      <c r="AM8" s="390" t="n"/>
      <c r="AN8" s="390" t="n"/>
      <c r="AO8" s="390" t="n"/>
      <c r="AP8" s="390" t="n"/>
      <c r="AQ8" s="390" t="n"/>
      <c r="AR8" s="390" t="n"/>
      <c r="AS8" s="390" t="n"/>
      <c r="AT8" s="390" t="n"/>
      <c r="AU8" s="391" t="n"/>
      <c r="AV8" s="7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</row>
    <row r="9" ht="21" customHeight="1">
      <c r="B9" s="393" t="inlineStr">
        <is>
          <t>Datos del declarante</t>
        </is>
      </c>
      <c r="C9" s="330" t="inlineStr">
        <is>
          <t>5. Número de Identificación Tributaria (NIT)</t>
        </is>
      </c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32" t="inlineStr">
        <is>
          <t>6. DV</t>
        </is>
      </c>
      <c r="S9" s="394" t="n"/>
      <c r="T9" s="394" t="n"/>
      <c r="U9" s="329" t="inlineStr">
        <is>
          <t>7. Primer apellido</t>
        </is>
      </c>
      <c r="V9" s="394" t="n"/>
      <c r="W9" s="394" t="n"/>
      <c r="X9" s="394" t="n"/>
      <c r="Y9" s="147" t="inlineStr">
        <is>
          <t>8. Segundo apellido</t>
        </is>
      </c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143" t="inlineStr">
        <is>
          <t>9. Primer nombre</t>
        </is>
      </c>
      <c r="AK9" s="394" t="n"/>
      <c r="AL9" s="394" t="n"/>
      <c r="AM9" s="394" t="n"/>
      <c r="AN9" s="394" t="n"/>
      <c r="AO9" s="394" t="n"/>
      <c r="AP9" s="1" t="n"/>
      <c r="AQ9" s="140" t="inlineStr">
        <is>
          <t xml:space="preserve">10. Otros nombres </t>
        </is>
      </c>
      <c r="AR9" s="394" t="n"/>
      <c r="AS9" s="394" t="n"/>
      <c r="AT9" s="394" t="n"/>
      <c r="AU9" s="395" t="n"/>
      <c r="AV9" s="7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</row>
    <row r="10" ht="24" customHeight="1" thickBot="1">
      <c r="B10" s="396" t="n"/>
      <c r="C10" s="327" t="n"/>
      <c r="D10" s="397" t="n"/>
      <c r="E10" s="397" t="n"/>
      <c r="F10" s="397" t="n"/>
      <c r="G10" s="397" t="n"/>
      <c r="H10" s="397" t="n"/>
      <c r="I10" s="397" t="n"/>
      <c r="J10" s="397" t="n"/>
      <c r="K10" s="397" t="n"/>
      <c r="L10" s="397" t="n"/>
      <c r="M10" s="67" t="n"/>
      <c r="N10" s="197" t="n"/>
      <c r="O10" s="197" t="n"/>
      <c r="P10" s="349" t="n"/>
      <c r="Q10" s="349" t="n"/>
      <c r="R10" s="349" t="n"/>
      <c r="S10" s="331" t="n"/>
      <c r="T10" s="397" t="n"/>
      <c r="U10" s="398" t="n"/>
      <c r="V10" s="397" t="n"/>
      <c r="W10" s="397" t="n"/>
      <c r="X10" s="399" t="n"/>
      <c r="Y10" s="398" t="n"/>
      <c r="Z10" s="397" t="n"/>
      <c r="AA10" s="397" t="n"/>
      <c r="AB10" s="397" t="n"/>
      <c r="AC10" s="397" t="n"/>
      <c r="AD10" s="397" t="n"/>
      <c r="AE10" s="397" t="n"/>
      <c r="AF10" s="397" t="n"/>
      <c r="AG10" s="397" t="n"/>
      <c r="AH10" s="397" t="n"/>
      <c r="AI10" s="399" t="n"/>
      <c r="AJ10" s="400" t="n"/>
      <c r="AK10" s="397" t="n"/>
      <c r="AL10" s="397" t="n"/>
      <c r="AM10" s="397" t="n"/>
      <c r="AN10" s="397" t="n"/>
      <c r="AO10" s="397" t="n"/>
      <c r="AP10" s="399" t="n"/>
      <c r="AQ10" s="142" t="n"/>
      <c r="AR10" s="397" t="n"/>
      <c r="AS10" s="397" t="n"/>
      <c r="AT10" s="397" t="n"/>
      <c r="AU10" s="401" t="n"/>
      <c r="AV10" s="7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</row>
    <row r="11" ht="24.75" customHeight="1">
      <c r="B11" s="396" t="n"/>
      <c r="C11" s="402" t="inlineStr">
        <is>
          <t>11. Razón social</t>
        </is>
      </c>
      <c r="D11" s="382" t="n"/>
      <c r="E11" s="382" t="n"/>
      <c r="F11" s="382" t="n"/>
      <c r="G11" s="382" t="n"/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3" t="n"/>
      <c r="AT11" s="403" t="inlineStr">
        <is>
          <t>12. Cód. Dirección Seccional</t>
        </is>
      </c>
      <c r="AU11" s="383" t="n"/>
      <c r="AV11" s="7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</row>
    <row r="12" ht="22.5" customHeight="1" thickBot="1">
      <c r="B12" s="404" t="n"/>
      <c r="C12" s="405" t="n"/>
      <c r="D12" s="397" t="n"/>
      <c r="E12" s="397" t="n"/>
      <c r="F12" s="397" t="n"/>
      <c r="G12" s="397" t="n"/>
      <c r="H12" s="397" t="n"/>
      <c r="I12" s="397" t="n"/>
      <c r="J12" s="397" t="n"/>
      <c r="K12" s="397" t="n"/>
      <c r="L12" s="397" t="n"/>
      <c r="M12" s="397" t="n"/>
      <c r="N12" s="397" t="n"/>
      <c r="O12" s="397" t="n"/>
      <c r="P12" s="397" t="n"/>
      <c r="Q12" s="397" t="n"/>
      <c r="R12" s="397" t="n"/>
      <c r="S12" s="397" t="n"/>
      <c r="T12" s="397" t="n"/>
      <c r="U12" s="397" t="n"/>
      <c r="V12" s="397" t="n"/>
      <c r="W12" s="397" t="n"/>
      <c r="X12" s="397" t="n"/>
      <c r="Y12" s="397" t="n"/>
      <c r="Z12" s="397" t="n"/>
      <c r="AA12" s="397" t="n"/>
      <c r="AB12" s="397" t="n"/>
      <c r="AC12" s="397" t="n"/>
      <c r="AD12" s="397" t="n"/>
      <c r="AE12" s="397" t="n"/>
      <c r="AF12" s="397" t="n"/>
      <c r="AG12" s="397" t="n"/>
      <c r="AH12" s="397" t="n"/>
      <c r="AI12" s="397" t="n"/>
      <c r="AJ12" s="397" t="n"/>
      <c r="AK12" s="397" t="n"/>
      <c r="AL12" s="397" t="n"/>
      <c r="AM12" s="397" t="n"/>
      <c r="AN12" s="397" t="n"/>
      <c r="AO12" s="397" t="n"/>
      <c r="AP12" s="397" t="n"/>
      <c r="AQ12" s="397" t="n"/>
      <c r="AR12" s="397" t="n"/>
      <c r="AS12" s="401" t="n"/>
      <c r="AT12" s="406" t="n"/>
      <c r="AU12" s="401" t="n"/>
      <c r="AV12" s="7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</row>
    <row r="13" ht="4.95" customHeight="1" thickBot="1">
      <c r="B13" s="72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4" t="n"/>
      <c r="AU13" s="162" t="n"/>
      <c r="AV13" s="7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</row>
    <row r="14" ht="26.55" customFormat="1" customHeight="1" s="85" thickBot="1">
      <c r="B14" s="154" t="inlineStr">
        <is>
          <t>24. Periodicidad 
de la declaración, marque "X".</t>
        </is>
      </c>
      <c r="K14" s="79" t="n"/>
      <c r="L14" s="156" t="inlineStr">
        <is>
          <t>Bimestral</t>
        </is>
      </c>
      <c r="P14" s="81" t="n"/>
      <c r="Q14" s="82" t="n"/>
      <c r="R14" s="137" t="inlineStr">
        <is>
          <t>Cuatrimestral</t>
        </is>
      </c>
      <c r="V14" s="81" t="n"/>
      <c r="W14" s="157" t="inlineStr">
        <is>
          <t>Anual</t>
        </is>
      </c>
      <c r="Y14" s="81" t="n"/>
      <c r="Z14" s="156" t="n"/>
      <c r="AA14" s="136" t="inlineStr">
        <is>
          <t>Si es una correción indique:</t>
        </is>
      </c>
      <c r="AJ14" s="137" t="inlineStr">
        <is>
          <t>25.Cód.</t>
        </is>
      </c>
      <c r="AM14" s="156" t="n"/>
      <c r="AN14" s="137" t="inlineStr">
        <is>
          <t>26. No. Formulario anterior</t>
        </is>
      </c>
      <c r="AS14" s="138" t="n"/>
      <c r="AU14" s="407" t="n"/>
      <c r="AV14" s="83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84" t="n"/>
      <c r="BH14" s="84" t="n"/>
      <c r="BI14" s="84" t="n"/>
      <c r="BJ14" s="84" t="n"/>
      <c r="BK14" s="84" t="n"/>
      <c r="BL14" s="84" t="n"/>
      <c r="BM14" s="84" t="n"/>
      <c r="BN14" s="84" t="n"/>
    </row>
    <row r="15" ht="4.5" customHeight="1" thickBot="1">
      <c r="B15" s="65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66" t="n"/>
      <c r="L15" s="77" t="n"/>
      <c r="M15" s="77" t="n"/>
      <c r="N15" s="77" t="n"/>
      <c r="O15" s="77" t="n"/>
      <c r="P15" s="68" t="n"/>
      <c r="Q15" s="78" t="n"/>
      <c r="R15" s="69" t="n"/>
      <c r="S15" s="70" t="n"/>
      <c r="T15" s="69" t="n"/>
      <c r="U15" s="68" t="n"/>
      <c r="V15" s="68" t="n"/>
      <c r="W15" s="68" t="n"/>
      <c r="X15" s="68" t="n"/>
      <c r="Y15" s="75" t="n"/>
      <c r="Z15" s="68" t="n"/>
      <c r="AA15" s="69" t="n"/>
      <c r="AB15" s="69" t="n"/>
      <c r="AC15" s="69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71" t="n"/>
      <c r="AV15" s="7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</row>
    <row r="16" ht="35.25" customHeight="1">
      <c r="B16" s="408" t="inlineStr">
        <is>
          <t>Ingresos</t>
        </is>
      </c>
      <c r="C16" s="409" t="inlineStr">
        <is>
          <t>Por operaciones gravadas al 5%</t>
        </is>
      </c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119" t="n">
        <v>27</v>
      </c>
      <c r="T16" s="410" t="n"/>
      <c r="Y16" s="407" t="n"/>
      <c r="Z16" s="411" t="inlineStr">
        <is>
          <t>Liquidación privada (Continuación)</t>
        </is>
      </c>
      <c r="AB16" s="412" t="inlineStr">
        <is>
          <t>Impuesto
 generado</t>
        </is>
      </c>
      <c r="AC16" s="383" t="n"/>
      <c r="AD16" s="338" t="inlineStr">
        <is>
          <t xml:space="preserve">En venta cerveza de producción
nacional o importada </t>
        </is>
      </c>
      <c r="AP16" s="26">
        <f>+S50+1</f>
        <v/>
      </c>
      <c r="AQ16" s="410" t="n"/>
      <c r="AU16" s="407" t="n"/>
      <c r="AV16" s="7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</row>
    <row r="17" ht="35.25" customHeight="1">
      <c r="B17" s="413" t="n"/>
      <c r="C17" s="306" t="inlineStr">
        <is>
          <t>Por operaciones gravadas a la tarifa general</t>
        </is>
      </c>
      <c r="S17" s="120">
        <f>+S16+1</f>
        <v/>
      </c>
      <c r="T17" s="414" t="n"/>
      <c r="Y17" s="407" t="n"/>
      <c r="AB17" s="413" t="n"/>
      <c r="AC17" s="407" t="n"/>
      <c r="AD17" s="367" t="inlineStr">
        <is>
          <t>En venta de gaseosas y similares</t>
        </is>
      </c>
      <c r="AP17" s="27">
        <f>+AP16+1</f>
        <v/>
      </c>
      <c r="AQ17" s="414" t="n"/>
      <c r="AU17" s="407" t="n"/>
      <c r="AV17" s="7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</row>
    <row r="18" ht="35.25" customHeight="1" thickBot="1">
      <c r="B18" s="413" t="n"/>
      <c r="C18" s="302" t="inlineStr">
        <is>
          <t>A.I.U por operaciones gravadas
(base Gravable especial)</t>
        </is>
      </c>
      <c r="S18" s="121">
        <f>+S17+1</f>
        <v/>
      </c>
      <c r="T18" s="410" t="n"/>
      <c r="Y18" s="407" t="n"/>
      <c r="AB18" s="413" t="n"/>
      <c r="AC18" s="407" t="n"/>
      <c r="AD18" s="368" t="inlineStr">
        <is>
          <t>En venta de licores, aperitivos, vinos y similares 5%</t>
        </is>
      </c>
      <c r="AP18" s="28">
        <f>+AP17+1</f>
        <v/>
      </c>
      <c r="AQ18" s="415" t="n"/>
      <c r="AU18" s="407" t="n"/>
      <c r="AV18" s="7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</row>
    <row r="19" ht="35.25" customHeight="1">
      <c r="B19" s="413" t="n"/>
      <c r="C19" s="306" t="inlineStr">
        <is>
          <t>Por exportacion de bienes</t>
        </is>
      </c>
      <c r="S19" s="120">
        <f>+S18+1</f>
        <v/>
      </c>
      <c r="T19" s="414" t="n"/>
      <c r="Y19" s="407" t="n"/>
      <c r="AB19" s="413" t="n"/>
      <c r="AC19" s="407" t="n"/>
      <c r="AD19" s="370" t="inlineStr">
        <is>
          <t>En retiro de inventario para activos fijos, consumo,
muestras gratis o donaciones</t>
        </is>
      </c>
      <c r="AE19" s="394" t="n"/>
      <c r="AF19" s="394" t="n"/>
      <c r="AG19" s="394" t="n"/>
      <c r="AH19" s="394" t="n"/>
      <c r="AI19" s="394" t="n"/>
      <c r="AJ19" s="394" t="n"/>
      <c r="AK19" s="394" t="n"/>
      <c r="AL19" s="394" t="n"/>
      <c r="AM19" s="394" t="n"/>
      <c r="AN19" s="394" t="n"/>
      <c r="AO19" s="394" t="n"/>
      <c r="AP19" s="114">
        <f>+AP18+1</f>
        <v/>
      </c>
      <c r="AQ19" s="416" t="n"/>
      <c r="AR19" s="394" t="n"/>
      <c r="AS19" s="394" t="n"/>
      <c r="AT19" s="394" t="n"/>
      <c r="AU19" s="417" t="n"/>
      <c r="AV19" s="7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</row>
    <row r="20" ht="35.25" customHeight="1">
      <c r="B20" s="413" t="n"/>
      <c r="C20" s="418" t="inlineStr">
        <is>
          <t>Por exportacion de servicios</t>
        </is>
      </c>
      <c r="S20" s="121">
        <f>+S19+1</f>
        <v/>
      </c>
      <c r="T20" s="410" t="n"/>
      <c r="Y20" s="407" t="n"/>
      <c r="AB20" s="413" t="n"/>
      <c r="AC20" s="407" t="n"/>
      <c r="AD20" s="338" t="inlineStr">
        <is>
          <t>IVA recuperado en devoluciones en compras anuladas, rescindidas o resueltas</t>
        </is>
      </c>
      <c r="AP20" s="28">
        <f>+AP19+1</f>
        <v/>
      </c>
      <c r="AQ20" s="419" t="n"/>
      <c r="AU20" s="385" t="n"/>
      <c r="AV20" s="7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</row>
    <row r="21" ht="35.25" customHeight="1" thickBot="1">
      <c r="B21" s="413" t="n"/>
      <c r="C21" s="305" t="inlineStr">
        <is>
          <t>Por ventas a sociedades de comercializacion internacional</t>
        </is>
      </c>
      <c r="S21" s="120">
        <f>+S20+1</f>
        <v/>
      </c>
      <c r="T21" s="414" t="n"/>
      <c r="Y21" s="407" t="n"/>
      <c r="AB21" s="420" t="n"/>
      <c r="AC21" s="401" t="n"/>
      <c r="AD21" s="339" t="inlineStr">
        <is>
          <t>Total impuesto generado por operaciones 
gravadas (Sume 58 a 66)</t>
        </is>
      </c>
      <c r="AE21" s="390" t="n"/>
      <c r="AF21" s="390" t="n"/>
      <c r="AG21" s="390" t="n"/>
      <c r="AH21" s="390" t="n"/>
      <c r="AI21" s="390" t="n"/>
      <c r="AJ21" s="390" t="n"/>
      <c r="AK21" s="390" t="n"/>
      <c r="AL21" s="390" t="n"/>
      <c r="AM21" s="390" t="n"/>
      <c r="AN21" s="390" t="n"/>
      <c r="AO21" s="390" t="n"/>
      <c r="AP21" s="115">
        <f>+AP20+1</f>
        <v/>
      </c>
      <c r="AQ21" s="421">
        <f>+T47+T48+T49+T50+AQ16+AQ17+AQ19+AQ20</f>
        <v/>
      </c>
      <c r="AR21" s="390" t="n"/>
      <c r="AS21" s="390" t="n"/>
      <c r="AT21" s="390" t="n"/>
      <c r="AU21" s="391" t="n"/>
      <c r="AV21" s="7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</row>
    <row r="22" ht="35.25" customHeight="1">
      <c r="B22" s="413" t="n"/>
      <c r="C22" s="418" t="inlineStr">
        <is>
          <t>Por ventas a zonas francas</t>
        </is>
      </c>
      <c r="S22" s="121">
        <f>+S21+1</f>
        <v/>
      </c>
      <c r="T22" s="410" t="n"/>
      <c r="Y22" s="407" t="n"/>
      <c r="AB22" s="422" t="inlineStr">
        <is>
          <t>Impuesto descontable</t>
        </is>
      </c>
      <c r="AC22" s="383" t="n"/>
      <c r="AD22" s="423" t="inlineStr">
        <is>
          <t>Por importaciones gravadas a la tarifa del 5%</t>
        </is>
      </c>
      <c r="AE22" s="394" t="n"/>
      <c r="AF22" s="394" t="n"/>
      <c r="AG22" s="394" t="n"/>
      <c r="AH22" s="394" t="n"/>
      <c r="AI22" s="394" t="n"/>
      <c r="AJ22" s="394" t="n"/>
      <c r="AK22" s="394" t="n"/>
      <c r="AL22" s="394" t="n"/>
      <c r="AM22" s="394" t="n"/>
      <c r="AN22" s="394" t="n"/>
      <c r="AO22" s="395" t="n"/>
      <c r="AP22" s="116">
        <f>+AP21+1</f>
        <v/>
      </c>
      <c r="AQ22" s="424" t="n"/>
      <c r="AR22" s="394" t="n"/>
      <c r="AS22" s="394" t="n"/>
      <c r="AT22" s="394" t="n"/>
      <c r="AU22" s="395" t="n"/>
      <c r="AV22" s="29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</row>
    <row r="23" ht="35.25" customHeight="1">
      <c r="B23" s="413" t="n"/>
      <c r="C23" s="305" t="inlineStr">
        <is>
          <t>Por juegos de suerte y azar</t>
        </is>
      </c>
      <c r="S23" s="120">
        <f>+S22+1</f>
        <v/>
      </c>
      <c r="T23" s="414" t="n"/>
      <c r="Y23" s="407" t="n"/>
      <c r="AB23" s="413" t="n"/>
      <c r="AC23" s="407" t="n"/>
      <c r="AD23" s="425" t="inlineStr">
        <is>
          <t>Por importaciones gravadas a la tarifa general</t>
        </is>
      </c>
      <c r="AO23" s="407" t="n"/>
      <c r="AP23" s="117">
        <f>+AP22+1</f>
        <v/>
      </c>
      <c r="AQ23" s="426" t="n"/>
      <c r="AU23" s="407" t="n"/>
      <c r="AV23" s="7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</row>
    <row r="24" ht="35.25" customHeight="1">
      <c r="B24" s="413" t="n"/>
      <c r="C24" s="418" t="inlineStr">
        <is>
          <t>Por operaciones exentas</t>
        </is>
      </c>
      <c r="S24" s="121">
        <f>+S23+1</f>
        <v/>
      </c>
      <c r="T24" s="410" t="n"/>
      <c r="Y24" s="407" t="n"/>
      <c r="AB24" s="413" t="n"/>
      <c r="AC24" s="407" t="n"/>
      <c r="AD24" s="427" t="inlineStr">
        <is>
          <t>De bienes y servicios gravados provenientes
de zonas francas</t>
        </is>
      </c>
      <c r="AO24" s="407" t="n"/>
      <c r="AP24" s="92">
        <f>+AP23+1</f>
        <v/>
      </c>
      <c r="AQ24" s="428" t="n"/>
      <c r="AU24" s="407" t="n"/>
      <c r="AV24" s="7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</row>
    <row r="25" ht="35.25" customHeight="1">
      <c r="B25" s="413" t="n"/>
      <c r="C25" s="305" t="inlineStr">
        <is>
          <t>Por venta de cerveza de producción nacional
o importada</t>
        </is>
      </c>
      <c r="S25" s="120">
        <f>+S24+1</f>
        <v/>
      </c>
      <c r="T25" s="414" t="n"/>
      <c r="Y25" s="407" t="n"/>
      <c r="AB25" s="413" t="n"/>
      <c r="AC25" s="407" t="n"/>
      <c r="AD25" s="425" t="inlineStr">
        <is>
          <t>Por compras de bienes gravados a la tarifa del 5%</t>
        </is>
      </c>
      <c r="AO25" s="407" t="n"/>
      <c r="AP25" s="117">
        <f>+AP24+1</f>
        <v/>
      </c>
      <c r="AQ25" s="426" t="n"/>
      <c r="AU25" s="407" t="n"/>
      <c r="AV25" s="7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</row>
    <row r="26" ht="35.25" customHeight="1">
      <c r="B26" s="413" t="n"/>
      <c r="C26" s="418" t="inlineStr">
        <is>
          <t>Por venta de gaseosas o similares</t>
        </is>
      </c>
      <c r="S26" s="121" t="n">
        <v>37</v>
      </c>
      <c r="T26" s="30" t="n"/>
      <c r="U26" s="31" t="n"/>
      <c r="V26" s="87" t="n"/>
      <c r="W26" s="31" t="n"/>
      <c r="X26" s="31" t="n"/>
      <c r="Y26" s="32" t="n"/>
      <c r="AB26" s="413" t="n"/>
      <c r="AC26" s="407" t="n"/>
      <c r="AD26" s="427" t="inlineStr">
        <is>
          <t>Por compras de bienes gravados a la tarifa general</t>
        </is>
      </c>
      <c r="AO26" s="407" t="n"/>
      <c r="AP26" s="92">
        <f>+AP25+1</f>
        <v/>
      </c>
      <c r="AQ26" s="429" t="n"/>
      <c r="AU26" s="407" t="n"/>
      <c r="AV26" s="7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</row>
    <row r="27" ht="35.25" customHeight="1">
      <c r="B27" s="413" t="n"/>
      <c r="C27" s="305" t="inlineStr">
        <is>
          <t>Por venta de licores, aperitivos, vinos y similares</t>
        </is>
      </c>
      <c r="S27" s="120" t="n">
        <v>38</v>
      </c>
      <c r="T27" s="414" t="n"/>
      <c r="Y27" s="407" t="n"/>
      <c r="AB27" s="413" t="n"/>
      <c r="AC27" s="407" t="n"/>
      <c r="AD27" s="306" t="inlineStr">
        <is>
          <t>Por licores, aperitivos, vinos y similares</t>
        </is>
      </c>
      <c r="AO27" s="118" t="n"/>
      <c r="AP27" s="27">
        <f>+AP26+1</f>
        <v/>
      </c>
      <c r="AQ27" s="430" t="n"/>
      <c r="AU27" s="407" t="n"/>
      <c r="AV27" s="3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</row>
    <row r="28" ht="35.25" customHeight="1">
      <c r="B28" s="413" t="n"/>
      <c r="C28" s="418" t="inlineStr">
        <is>
          <t>Por operaciones excluidas</t>
        </is>
      </c>
      <c r="S28" s="121">
        <f>+S27+1</f>
        <v/>
      </c>
      <c r="T28" s="410" t="n"/>
      <c r="Y28" s="407" t="n"/>
      <c r="AB28" s="413" t="n"/>
      <c r="AC28" s="407" t="n"/>
      <c r="AD28" s="427" t="inlineStr">
        <is>
          <t>Por servicios gravados a la tarifa del 5%</t>
        </is>
      </c>
      <c r="AO28" s="407" t="n"/>
      <c r="AP28" s="28">
        <f>+AP27+1</f>
        <v/>
      </c>
      <c r="AQ28" s="431" t="n"/>
      <c r="AU28" s="407" t="n"/>
      <c r="AV28" s="34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</row>
    <row r="29" ht="35.25" customHeight="1">
      <c r="B29" s="413" t="n"/>
      <c r="C29" s="305" t="inlineStr">
        <is>
          <t xml:space="preserve">Por operaciones no gravadas </t>
        </is>
      </c>
      <c r="S29" s="120">
        <f>+S28+1</f>
        <v/>
      </c>
      <c r="T29" s="414" t="n"/>
      <c r="Y29" s="407" t="n"/>
      <c r="AB29" s="413" t="n"/>
      <c r="AC29" s="407" t="n"/>
      <c r="AD29" s="306" t="inlineStr">
        <is>
          <t>Por servicios gravados a la tarifa general</t>
        </is>
      </c>
      <c r="AO29" s="118" t="n"/>
      <c r="AP29" s="27">
        <f>+AP28+1</f>
        <v/>
      </c>
      <c r="AQ29" s="430" t="n"/>
      <c r="AU29" s="407" t="n"/>
      <c r="AV29" s="34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</row>
    <row r="30" ht="35.25" customHeight="1">
      <c r="B30" s="413" t="n"/>
      <c r="C30" s="432" t="inlineStr">
        <is>
          <t>Total Ingresos brutos (sume 27 a 40)</t>
        </is>
      </c>
      <c r="S30" s="122">
        <f>+S29+1</f>
        <v/>
      </c>
      <c r="T30" s="433">
        <f>SUM(T16:Y29)</f>
        <v/>
      </c>
      <c r="Y30" s="407" t="n"/>
      <c r="AB30" s="413" t="n"/>
      <c r="AC30" s="407" t="n"/>
      <c r="AD30" s="427" t="inlineStr">
        <is>
          <t xml:space="preserve">Descuento IVA exploración hidrocarburos
Art. 485-2 E.T. </t>
        </is>
      </c>
      <c r="AO30" s="407" t="n"/>
      <c r="AP30" s="28">
        <f>+AP29+1</f>
        <v/>
      </c>
      <c r="AQ30" s="431" t="n"/>
      <c r="AU30" s="407" t="n"/>
      <c r="AV30" s="35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</row>
    <row r="31" ht="35.25" customHeight="1" thickBot="1">
      <c r="B31" s="413" t="n"/>
      <c r="C31" s="305" t="inlineStr">
        <is>
          <t>Devoluciones en ventas anuladas, rescindidas o resueltas</t>
        </is>
      </c>
      <c r="S31" s="120">
        <f>+S30+1</f>
        <v/>
      </c>
      <c r="T31" s="414" t="n"/>
      <c r="Y31" s="407" t="n"/>
      <c r="AB31" s="413" t="n"/>
      <c r="AC31" s="407" t="n"/>
      <c r="AD31" s="434" t="inlineStr">
        <is>
          <t>Total impuesto pagado o facturado (Sume 68 a 76)</t>
        </is>
      </c>
      <c r="AE31" s="397" t="n"/>
      <c r="AF31" s="397" t="n"/>
      <c r="AG31" s="397" t="n"/>
      <c r="AH31" s="397" t="n"/>
      <c r="AI31" s="397" t="n"/>
      <c r="AJ31" s="397" t="n"/>
      <c r="AK31" s="397" t="n"/>
      <c r="AL31" s="397" t="n"/>
      <c r="AM31" s="397" t="n"/>
      <c r="AN31" s="397" t="n"/>
      <c r="AO31" s="401" t="n"/>
      <c r="AP31" s="36">
        <f>+AP30+1</f>
        <v/>
      </c>
      <c r="AQ31" s="435">
        <f>SUM(AQ22:AU30)</f>
        <v/>
      </c>
      <c r="AR31" s="397" t="n"/>
      <c r="AS31" s="397" t="n"/>
      <c r="AT31" s="397" t="n"/>
      <c r="AU31" s="401" t="n"/>
      <c r="AV31" s="35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</row>
    <row r="32" ht="35.25" customHeight="1" thickBot="1">
      <c r="B32" s="420" t="n"/>
      <c r="C32" s="436" t="inlineStr">
        <is>
          <t>Total Ingresos netos recibidos durante el período
(41-42)</t>
        </is>
      </c>
      <c r="D32" s="397" t="n"/>
      <c r="E32" s="397" t="n"/>
      <c r="F32" s="397" t="n"/>
      <c r="G32" s="397" t="n"/>
      <c r="H32" s="397" t="n"/>
      <c r="I32" s="397" t="n"/>
      <c r="J32" s="397" t="n"/>
      <c r="K32" s="397" t="n"/>
      <c r="L32" s="397" t="n"/>
      <c r="M32" s="397" t="n"/>
      <c r="N32" s="397" t="n"/>
      <c r="O32" s="397" t="n"/>
      <c r="P32" s="397" t="n"/>
      <c r="Q32" s="397" t="n"/>
      <c r="R32" s="397" t="n"/>
      <c r="S32" s="122">
        <f>+S31+1</f>
        <v/>
      </c>
      <c r="T32" s="437">
        <f>T30-T31</f>
        <v/>
      </c>
      <c r="U32" s="397" t="n"/>
      <c r="V32" s="397" t="n"/>
      <c r="W32" s="397" t="n"/>
      <c r="X32" s="397" t="n"/>
      <c r="Y32" s="401" t="n"/>
      <c r="AB32" s="413" t="n"/>
      <c r="AC32" s="407" t="n"/>
      <c r="AD32" s="427" t="inlineStr">
        <is>
          <t>IVA retenido por servicios prestados en Colombia
por no domiciliados o no residentes</t>
        </is>
      </c>
      <c r="AO32" s="407" t="n"/>
      <c r="AP32" s="28">
        <f>+AP31+1</f>
        <v/>
      </c>
      <c r="AQ32" s="410" t="n">
        <v>0</v>
      </c>
      <c r="AU32" s="407" t="n"/>
      <c r="AV32" s="35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</row>
    <row r="33" ht="35.25" customHeight="1">
      <c r="B33" s="286" t="inlineStr">
        <is>
          <t>Compras</t>
        </is>
      </c>
      <c r="C33" s="438" t="inlineStr">
        <is>
          <t>Importaciones</t>
        </is>
      </c>
      <c r="D33" s="383" t="n"/>
      <c r="E33" s="306" t="inlineStr">
        <is>
          <t>De bienes gravados a la tarifa del 5%</t>
        </is>
      </c>
      <c r="S33" s="123">
        <f>+S32+1</f>
        <v/>
      </c>
      <c r="T33" s="439" t="n"/>
      <c r="U33" s="382" t="n"/>
      <c r="V33" s="382" t="n"/>
      <c r="W33" s="382" t="n"/>
      <c r="X33" s="382" t="n"/>
      <c r="Y33" s="383" t="n"/>
      <c r="AB33" s="413" t="n"/>
      <c r="AC33" s="407" t="n"/>
      <c r="AD33" s="425" t="inlineStr">
        <is>
          <t>IVA resultante por devoluciones en ventas
anuladas, rescindidas o resueltas</t>
        </is>
      </c>
      <c r="AO33" s="407" t="n"/>
      <c r="AP33" s="27">
        <f>+AP32+1</f>
        <v/>
      </c>
      <c r="AQ33" s="426" t="n"/>
      <c r="AU33" s="407" t="n"/>
      <c r="AV33" s="7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</row>
    <row r="34" ht="35.25" customHeight="1">
      <c r="B34" s="440" t="n"/>
      <c r="C34" s="413" t="n"/>
      <c r="D34" s="407" t="n"/>
      <c r="E34" s="418" t="inlineStr">
        <is>
          <t>De bienes gravados a la tarifa general</t>
        </is>
      </c>
      <c r="S34" s="121">
        <f>+S33+1</f>
        <v/>
      </c>
      <c r="T34" s="410" t="n"/>
      <c r="Y34" s="407" t="n"/>
      <c r="AB34" s="413" t="n"/>
      <c r="AC34" s="407" t="n"/>
      <c r="AD34" s="427" t="inlineStr">
        <is>
          <t xml:space="preserve">Ajuste impuestos descontables (pérdidas, hurto o
castigo de inventarios) </t>
        </is>
      </c>
      <c r="AO34" s="407" t="n"/>
      <c r="AP34" s="28">
        <f>+AP33+1</f>
        <v/>
      </c>
      <c r="AQ34" s="428" t="n"/>
      <c r="AU34" s="407" t="n"/>
      <c r="AV34" s="7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</row>
    <row r="35" ht="35.25" customHeight="1" thickBot="1">
      <c r="B35" s="440" t="n"/>
      <c r="C35" s="413" t="n"/>
      <c r="D35" s="407" t="n"/>
      <c r="E35" s="305" t="inlineStr">
        <is>
          <t>De bienes y servicios gravados provenientes
de zonas francas</t>
        </is>
      </c>
      <c r="S35" s="120">
        <f>+S34+1</f>
        <v/>
      </c>
      <c r="T35" s="414" t="n"/>
      <c r="Y35" s="407" t="n"/>
      <c r="AB35" s="420" t="n"/>
      <c r="AC35" s="401" t="n"/>
      <c r="AD35" s="441" t="inlineStr">
        <is>
          <t>Total Impuestos descontables
 (Sume 77 a 79 y reste 80)</t>
        </is>
      </c>
      <c r="AE35" s="397" t="n"/>
      <c r="AF35" s="397" t="n"/>
      <c r="AG35" s="397" t="n"/>
      <c r="AH35" s="397" t="n"/>
      <c r="AI35" s="397" t="n"/>
      <c r="AJ35" s="397" t="n"/>
      <c r="AK35" s="397" t="n"/>
      <c r="AL35" s="397" t="n"/>
      <c r="AM35" s="397" t="n"/>
      <c r="AN35" s="397" t="n"/>
      <c r="AO35" s="401" t="n"/>
      <c r="AP35" s="36">
        <f>+AP34+1</f>
        <v/>
      </c>
      <c r="AQ35" s="435">
        <f>AQ31+AQ32+AQ33-AQ34</f>
        <v/>
      </c>
      <c r="AR35" s="397" t="n"/>
      <c r="AS35" s="397" t="n"/>
      <c r="AT35" s="397" t="n"/>
      <c r="AU35" s="401" t="n"/>
      <c r="AV35" s="7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</row>
    <row r="36" ht="35.25" customHeight="1">
      <c r="B36" s="440" t="n"/>
      <c r="C36" s="413" t="n"/>
      <c r="D36" s="407" t="n"/>
      <c r="E36" s="432" t="inlineStr">
        <is>
          <t>De bienes no gravados</t>
        </is>
      </c>
      <c r="S36" s="121">
        <f>+S35+1</f>
        <v/>
      </c>
      <c r="T36" s="410" t="n"/>
      <c r="Y36" s="407" t="n"/>
      <c r="AB36" s="442" t="inlineStr">
        <is>
          <t>Saldo a pagar por el período fiscal
(67 -81, si el resultado es menor a cero escriba 0)</t>
        </is>
      </c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3" t="n"/>
      <c r="AP36" s="37">
        <f>+AP35+1</f>
        <v/>
      </c>
      <c r="AQ36" s="443">
        <f>IF(AQ21-AQ35&gt;0,AQ21-AQ35,0)</f>
        <v/>
      </c>
      <c r="AR36" s="382" t="n"/>
      <c r="AS36" s="382" t="n"/>
      <c r="AT36" s="382" t="n"/>
      <c r="AU36" s="383" t="n"/>
      <c r="AV36" s="7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</row>
    <row r="37" ht="35.25" customHeight="1">
      <c r="B37" s="440" t="n"/>
      <c r="C37" s="413" t="n"/>
      <c r="D37" s="407" t="n"/>
      <c r="E37" s="305" t="inlineStr">
        <is>
          <t>De bienes excluidos, exentos y no gravados provenientes de zonas francas</t>
        </is>
      </c>
      <c r="S37" s="120">
        <f>+S36+1</f>
        <v/>
      </c>
      <c r="T37" s="414" t="n"/>
      <c r="Y37" s="407" t="n"/>
      <c r="AB37" s="425" t="inlineStr">
        <is>
          <t>Saldo a favor del período fiscal
(81 - 67, si el resultado es menor a cero escriba 0)</t>
        </is>
      </c>
      <c r="AO37" s="407" t="n"/>
      <c r="AP37" s="38">
        <f>+AP36+1</f>
        <v/>
      </c>
      <c r="AQ37" s="426">
        <f>IF(AQ35-AQ21&gt;0,AQ35-AQ21,0)</f>
        <v/>
      </c>
      <c r="AU37" s="407" t="n"/>
      <c r="AV37" s="7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</row>
    <row r="38" ht="35.25" customHeight="1" thickBot="1">
      <c r="B38" s="440" t="n"/>
      <c r="C38" s="420" t="n"/>
      <c r="D38" s="401" t="n"/>
      <c r="E38" s="444" t="inlineStr">
        <is>
          <t>De servicios</t>
        </is>
      </c>
      <c r="F38" s="397" t="n"/>
      <c r="G38" s="397" t="n"/>
      <c r="H38" s="397" t="n"/>
      <c r="I38" s="397" t="n"/>
      <c r="J38" s="397" t="n"/>
      <c r="K38" s="397" t="n"/>
      <c r="L38" s="397" t="n"/>
      <c r="M38" s="397" t="n"/>
      <c r="N38" s="397" t="n"/>
      <c r="O38" s="397" t="n"/>
      <c r="P38" s="397" t="n"/>
      <c r="Q38" s="397" t="n"/>
      <c r="R38" s="397" t="n"/>
      <c r="S38" s="39">
        <f>+S37+1</f>
        <v/>
      </c>
      <c r="T38" s="445" t="n"/>
      <c r="U38" s="397" t="n"/>
      <c r="V38" s="397" t="n"/>
      <c r="W38" s="397" t="n"/>
      <c r="X38" s="397" t="n"/>
      <c r="Y38" s="401" t="n"/>
      <c r="AB38" s="446" t="inlineStr">
        <is>
          <t>Saldo a favor del período fiscal anterior</t>
        </is>
      </c>
      <c r="AO38" s="407" t="n"/>
      <c r="AP38" s="28">
        <f>+AP37+1</f>
        <v/>
      </c>
      <c r="AQ38" s="410" t="n"/>
      <c r="AU38" s="407" t="n"/>
      <c r="AV38" s="7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</row>
    <row r="39" ht="35.25" customHeight="1">
      <c r="B39" s="440" t="n"/>
      <c r="C39" s="438" t="inlineStr">
        <is>
          <t>Nacionales</t>
        </is>
      </c>
      <c r="D39" s="383" t="n"/>
      <c r="E39" s="447" t="inlineStr">
        <is>
          <t>De bienes gravados a la tarifa del 5%</t>
        </is>
      </c>
      <c r="F39" s="382" t="n"/>
      <c r="G39" s="382" t="n"/>
      <c r="H39" s="382" t="n"/>
      <c r="I39" s="382" t="n"/>
      <c r="J39" s="382" t="n"/>
      <c r="K39" s="382" t="n"/>
      <c r="L39" s="382" t="n"/>
      <c r="M39" s="382" t="n"/>
      <c r="N39" s="382" t="n"/>
      <c r="O39" s="382" t="n"/>
      <c r="P39" s="382" t="n"/>
      <c r="Q39" s="382" t="n"/>
      <c r="R39" s="382" t="n"/>
      <c r="S39" s="120">
        <f>+S38+1</f>
        <v/>
      </c>
      <c r="T39" s="439" t="n"/>
      <c r="U39" s="382" t="n"/>
      <c r="V39" s="382" t="n"/>
      <c r="W39" s="382" t="n"/>
      <c r="X39" s="382" t="n"/>
      <c r="Y39" s="383" t="n"/>
      <c r="AB39" s="425" t="inlineStr">
        <is>
          <t>Retenciones por IVA que le practicaron</t>
        </is>
      </c>
      <c r="AO39" s="407" t="n"/>
      <c r="AP39" s="27">
        <f>+AP38+1</f>
        <v/>
      </c>
      <c r="AQ39" s="426" t="n"/>
      <c r="AU39" s="407" t="n"/>
      <c r="AV39" s="7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</row>
    <row r="40" ht="35.25" customHeight="1">
      <c r="B40" s="440" t="n"/>
      <c r="C40" s="413" t="n"/>
      <c r="D40" s="407" t="n"/>
      <c r="E40" s="418" t="inlineStr">
        <is>
          <t>De bienes gravados a la tarifa general</t>
        </is>
      </c>
      <c r="S40" s="121">
        <f>+S39+1</f>
        <v/>
      </c>
      <c r="T40" s="410" t="n"/>
      <c r="Y40" s="407" t="n"/>
      <c r="AB40" s="427" t="inlineStr">
        <is>
          <t>Saldo a pagar por impuesto (82 - 84 - 85 si el
resultado es menor a cero escriba 0)</t>
        </is>
      </c>
      <c r="AO40" s="407" t="n"/>
      <c r="AP40" s="40">
        <f>+AP39+1</f>
        <v/>
      </c>
      <c r="AQ40" s="410">
        <f>+IF(AQ36-AQ38-AQ39&gt;0,AQ36-AQ38-AQ39,0)</f>
        <v/>
      </c>
      <c r="AU40" s="407" t="n"/>
      <c r="AV40" s="7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</row>
    <row r="41" ht="35.25" customHeight="1">
      <c r="B41" s="440" t="n"/>
      <c r="C41" s="413" t="n"/>
      <c r="D41" s="407" t="n"/>
      <c r="E41" s="306" t="inlineStr">
        <is>
          <t>De servicios gravados a la tarifa del 5%</t>
        </is>
      </c>
      <c r="S41" s="120">
        <f>+S40+1</f>
        <v/>
      </c>
      <c r="T41" s="414" t="n"/>
      <c r="Y41" s="407" t="n"/>
      <c r="AB41" s="425" t="inlineStr">
        <is>
          <t>Sanciones</t>
        </is>
      </c>
      <c r="AO41" s="407" t="n"/>
      <c r="AP41" s="27">
        <f>+AP40+1</f>
        <v/>
      </c>
      <c r="AQ41" s="426" t="n"/>
      <c r="AU41" s="407" t="n"/>
      <c r="AV41" s="7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</row>
    <row r="42" ht="35.25" customHeight="1">
      <c r="B42" s="440" t="n"/>
      <c r="C42" s="413" t="n"/>
      <c r="D42" s="407" t="n"/>
      <c r="E42" s="418" t="inlineStr">
        <is>
          <t>De servicios gravados a la tarifa general</t>
        </is>
      </c>
      <c r="S42" s="121">
        <f>+S41+1</f>
        <v/>
      </c>
      <c r="T42" s="410" t="n"/>
      <c r="Y42" s="407" t="n"/>
      <c r="AB42" s="427" t="inlineStr">
        <is>
          <t>Total saldo a pagar (82 - 84 - 85 + 87, si el resultado
es menor a cero escriba 0)</t>
        </is>
      </c>
      <c r="AO42" s="407" t="n"/>
      <c r="AP42" s="40">
        <f>+AP41+1</f>
        <v/>
      </c>
      <c r="AQ42" s="410">
        <f>IF(AQ36-AQ38-AQ39+AQ41&gt;0,AQ36-AQ38-AQ39+AQ41,0)</f>
        <v/>
      </c>
      <c r="AU42" s="407" t="n"/>
      <c r="AV42" s="7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</row>
    <row r="43" ht="35.25" customHeight="1" thickBot="1">
      <c r="B43" s="440" t="n"/>
      <c r="C43" s="420" t="n"/>
      <c r="D43" s="401" t="n"/>
      <c r="E43" s="448" t="inlineStr">
        <is>
          <t>De bienes y servicios excluidos, exentos
y no gravados</t>
        </is>
      </c>
      <c r="F43" s="397" t="n"/>
      <c r="G43" s="397" t="n"/>
      <c r="H43" s="397" t="n"/>
      <c r="I43" s="397" t="n"/>
      <c r="J43" s="397" t="n"/>
      <c r="K43" s="397" t="n"/>
      <c r="L43" s="397" t="n"/>
      <c r="M43" s="397" t="n"/>
      <c r="N43" s="397" t="n"/>
      <c r="O43" s="397" t="n"/>
      <c r="P43" s="397" t="n"/>
      <c r="Q43" s="397" t="n"/>
      <c r="R43" s="397" t="n"/>
      <c r="S43" s="124">
        <f>+S42+1</f>
        <v/>
      </c>
      <c r="T43" s="449" t="n"/>
      <c r="U43" s="397" t="n"/>
      <c r="V43" s="397" t="n"/>
      <c r="W43" s="397" t="n"/>
      <c r="X43" s="397" t="n"/>
      <c r="Y43" s="401" t="n"/>
      <c r="Z43" s="41" t="n"/>
      <c r="AA43" s="41" t="n"/>
      <c r="AB43" s="441" t="inlineStr">
        <is>
          <t>Total saldo a favor (83 + 84 + 85 - 87 si el resultado
es menor a cero escriba 0)</t>
        </is>
      </c>
      <c r="AC43" s="397" t="n"/>
      <c r="AD43" s="397" t="n"/>
      <c r="AE43" s="397" t="n"/>
      <c r="AF43" s="397" t="n"/>
      <c r="AG43" s="397" t="n"/>
      <c r="AH43" s="397" t="n"/>
      <c r="AI43" s="397" t="n"/>
      <c r="AJ43" s="397" t="n"/>
      <c r="AK43" s="397" t="n"/>
      <c r="AL43" s="397" t="n"/>
      <c r="AM43" s="397" t="n"/>
      <c r="AN43" s="397" t="n"/>
      <c r="AO43" s="401" t="n"/>
      <c r="AP43" s="36">
        <f>+AP42+1</f>
        <v/>
      </c>
      <c r="AQ43" s="450">
        <f>IF(AQ37+AQ38+AQ39-AQ41&gt;0,AQ37+AQ38+AQ39-AQ41,0)</f>
        <v/>
      </c>
      <c r="AR43" s="397" t="n"/>
      <c r="AS43" s="397" t="n"/>
      <c r="AT43" s="397" t="n"/>
      <c r="AU43" s="401" t="n"/>
      <c r="AV43" s="7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</row>
    <row r="44" ht="35.25" customHeight="1">
      <c r="B44" s="440" t="n"/>
      <c r="C44" s="451" t="inlineStr">
        <is>
          <t>Total Compras e importaciones brutas
(Sume 44 a 54)</t>
        </is>
      </c>
      <c r="D44" s="382" t="n"/>
      <c r="E44" s="382" t="n"/>
      <c r="F44" s="382" t="n"/>
      <c r="G44" s="382" t="n"/>
      <c r="H44" s="382" t="n"/>
      <c r="I44" s="382" t="n"/>
      <c r="J44" s="382" t="n"/>
      <c r="K44" s="382" t="n"/>
      <c r="L44" s="382" t="n"/>
      <c r="M44" s="382" t="n"/>
      <c r="N44" s="382" t="n"/>
      <c r="O44" s="382" t="n"/>
      <c r="P44" s="382" t="n"/>
      <c r="Q44" s="382" t="n"/>
      <c r="R44" s="382" t="n"/>
      <c r="S44" s="125">
        <f>+S43+1</f>
        <v/>
      </c>
      <c r="T44" s="443">
        <f>SUM(T33:Y43)</f>
        <v/>
      </c>
      <c r="U44" s="382" t="n"/>
      <c r="V44" s="382" t="n"/>
      <c r="W44" s="382" t="n"/>
      <c r="X44" s="382" t="n"/>
      <c r="Y44" s="383" t="n"/>
      <c r="Z44" s="452" t="inlineStr">
        <is>
          <t>Control
 de saldos</t>
        </is>
      </c>
      <c r="AA44" s="383" t="n"/>
      <c r="AB44" s="453" t="inlineStr">
        <is>
          <t>Saldo a favor susceptible de devolución y/o
compensación por el presente periodo</t>
        </is>
      </c>
      <c r="AO44" s="454" t="n"/>
      <c r="AP44" s="42">
        <f>+AP43+1</f>
        <v/>
      </c>
      <c r="AQ44" s="455" t="n"/>
      <c r="AR44" s="382" t="n"/>
      <c r="AS44" s="382" t="n"/>
      <c r="AT44" s="382" t="n"/>
      <c r="AU44" s="383" t="n"/>
      <c r="AV44" s="7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</row>
    <row r="45" ht="35.25" customHeight="1">
      <c r="B45" s="440" t="n"/>
      <c r="C45" s="305" t="inlineStr">
        <is>
          <t>Devoluciones en compras anuladas, rescindidas o resueltas en este período</t>
        </is>
      </c>
      <c r="S45" s="124">
        <f>+S44+1</f>
        <v/>
      </c>
      <c r="T45" s="414" t="n"/>
      <c r="Y45" s="407" t="n"/>
      <c r="AA45" s="407" t="n"/>
      <c r="AB45" s="425" t="inlineStr">
        <is>
          <t xml:space="preserve">Saldo a favor susceptible de ser devulto y/o
compensado a imputar en el período siguiente </t>
        </is>
      </c>
      <c r="AO45" s="407" t="n"/>
      <c r="AP45" s="27">
        <f>+AP44+1</f>
        <v/>
      </c>
      <c r="AQ45" s="426" t="n"/>
      <c r="AU45" s="407" t="n"/>
      <c r="AV45" s="7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</row>
    <row r="46" ht="35.25" customHeight="1" thickBot="1">
      <c r="B46" s="440" t="n"/>
      <c r="C46" s="436" t="inlineStr">
        <is>
          <t>Total compras netas realizadas durante el período
(55 - 56)</t>
        </is>
      </c>
      <c r="D46" s="397" t="n"/>
      <c r="E46" s="397" t="n"/>
      <c r="F46" s="397" t="n"/>
      <c r="G46" s="397" t="n"/>
      <c r="H46" s="397" t="n"/>
      <c r="I46" s="397" t="n"/>
      <c r="J46" s="397" t="n"/>
      <c r="K46" s="397" t="n"/>
      <c r="L46" s="397" t="n"/>
      <c r="M46" s="397" t="n"/>
      <c r="N46" s="397" t="n"/>
      <c r="O46" s="397" t="n"/>
      <c r="P46" s="397" t="n"/>
      <c r="Q46" s="397" t="n"/>
      <c r="R46" s="397" t="n"/>
      <c r="S46" s="39">
        <f>+S45+1</f>
        <v/>
      </c>
      <c r="T46" s="437">
        <f>T44-T45</f>
        <v/>
      </c>
      <c r="U46" s="397" t="n"/>
      <c r="V46" s="397" t="n"/>
      <c r="W46" s="397" t="n"/>
      <c r="X46" s="397" t="n"/>
      <c r="Y46" s="401" t="n"/>
      <c r="AA46" s="407" t="n"/>
      <c r="AB46" s="427" t="inlineStr">
        <is>
          <t>Saldo a favor sin derecho a devolución y/o compensación
susceptible de ser imputado en el siguiente periodo</t>
        </is>
      </c>
      <c r="AO46" s="407" t="n"/>
      <c r="AP46" s="28">
        <f>+AP45+1</f>
        <v/>
      </c>
      <c r="AQ46" s="410" t="n"/>
      <c r="AU46" s="407" t="n"/>
      <c r="AV46" s="7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</row>
    <row r="47" ht="35.25" customHeight="1" thickBot="1">
      <c r="B47" s="408" t="inlineStr">
        <is>
          <t>Liquidación
privada</t>
        </is>
      </c>
      <c r="C47" s="456" t="inlineStr">
        <is>
          <t>Impuesto
generado</t>
        </is>
      </c>
      <c r="D47" s="383" t="n"/>
      <c r="E47" s="447" t="inlineStr">
        <is>
          <t>A la tarifa del 5%</t>
        </is>
      </c>
      <c r="F47" s="382" t="n"/>
      <c r="G47" s="382" t="n"/>
      <c r="H47" s="382" t="n"/>
      <c r="I47" s="382" t="n"/>
      <c r="J47" s="382" t="n"/>
      <c r="K47" s="382" t="n"/>
      <c r="L47" s="382" t="n"/>
      <c r="M47" s="382" t="n"/>
      <c r="N47" s="382" t="n"/>
      <c r="O47" s="382" t="n"/>
      <c r="P47" s="382" t="n"/>
      <c r="Q47" s="382" t="n"/>
      <c r="R47" s="382" t="n"/>
      <c r="S47" s="123">
        <f>+S46+1</f>
        <v/>
      </c>
      <c r="T47" s="439" t="n">
        <v>0</v>
      </c>
      <c r="U47" s="382" t="n"/>
      <c r="V47" s="382" t="n"/>
      <c r="W47" s="382" t="n"/>
      <c r="X47" s="382" t="n"/>
      <c r="Y47" s="383" t="n"/>
      <c r="Z47" s="397" t="n"/>
      <c r="AA47" s="401" t="n"/>
      <c r="AB47" s="434" t="inlineStr">
        <is>
          <t>Total saldo a favor a imputar al periodo siguiente
(Casilla 89 - 90)</t>
        </is>
      </c>
      <c r="AC47" s="397" t="n"/>
      <c r="AD47" s="397" t="n"/>
      <c r="AE47" s="397" t="n"/>
      <c r="AF47" s="397" t="n"/>
      <c r="AG47" s="397" t="n"/>
      <c r="AH47" s="397" t="n"/>
      <c r="AI47" s="397" t="n"/>
      <c r="AJ47" s="397" t="n"/>
      <c r="AK47" s="397" t="n"/>
      <c r="AL47" s="397" t="n"/>
      <c r="AM47" s="397" t="n"/>
      <c r="AN47" s="397" t="n"/>
      <c r="AO47" s="401" t="n"/>
      <c r="AP47" s="36">
        <f>+AP46+1</f>
        <v/>
      </c>
      <c r="AQ47" s="457">
        <f>AQ43-AQ44</f>
        <v/>
      </c>
      <c r="AR47" s="397" t="n"/>
      <c r="AS47" s="397" t="n"/>
      <c r="AT47" s="397" t="n"/>
      <c r="AU47" s="401" t="n"/>
      <c r="AV47" s="7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</row>
    <row r="48" ht="35.25" customHeight="1" thickBot="1">
      <c r="B48" s="413" t="n"/>
      <c r="C48" s="413" t="n"/>
      <c r="D48" s="407" t="n"/>
      <c r="E48" s="418" t="inlineStr">
        <is>
          <t>A la tarifa general</t>
        </is>
      </c>
      <c r="S48" s="121">
        <f>+S47+1</f>
        <v/>
      </c>
      <c r="T48" s="410" t="n">
        <v>0</v>
      </c>
      <c r="Y48" s="407" t="n"/>
      <c r="Z48" s="458" t="inlineStr">
        <is>
          <t>Anticipos IVA pagados Régimen
 Simple</t>
        </is>
      </c>
      <c r="AA48" s="382" t="n"/>
      <c r="AB48" s="383" t="n"/>
      <c r="AC48" s="458" t="inlineStr">
        <is>
          <t>Bimestre</t>
        </is>
      </c>
      <c r="AD48" s="43" t="n">
        <v>1</v>
      </c>
      <c r="AE48" s="459" t="n"/>
      <c r="AN48" s="407" t="n"/>
      <c r="AO48" s="239" t="inlineStr">
        <is>
          <t>Bimestre</t>
        </is>
      </c>
      <c r="AP48" s="26" t="n">
        <v>4</v>
      </c>
      <c r="AQ48" s="459" t="n"/>
      <c r="AU48" s="407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</row>
    <row r="49" ht="35.25" customHeight="1" thickBot="1">
      <c r="B49" s="413" t="n"/>
      <c r="C49" s="413" t="n"/>
      <c r="D49" s="407" t="n"/>
      <c r="E49" s="305" t="inlineStr">
        <is>
          <t>Sobre A.I.U en operaciones gravadas
(base gravable especial)</t>
        </is>
      </c>
      <c r="S49" s="120">
        <f>+S48+1</f>
        <v/>
      </c>
      <c r="T49" s="414" t="n">
        <v>0</v>
      </c>
      <c r="Y49" s="407" t="n"/>
      <c r="Z49" s="413" t="n"/>
      <c r="AB49" s="407" t="n"/>
      <c r="AC49" s="396" t="n"/>
      <c r="AD49" s="44" t="n">
        <v>2</v>
      </c>
      <c r="AE49" s="460" t="n"/>
      <c r="AN49" s="407" t="n"/>
      <c r="AO49" s="396" t="n"/>
      <c r="AP49" s="27" t="n">
        <v>5</v>
      </c>
      <c r="AQ49" s="460" t="n"/>
      <c r="AU49" s="407" t="n"/>
      <c r="AV49" s="7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</row>
    <row r="50" ht="35.25" customHeight="1" thickBot="1">
      <c r="B50" s="420" t="n"/>
      <c r="C50" s="420" t="n"/>
      <c r="D50" s="401" t="n"/>
      <c r="E50" s="444" t="inlineStr">
        <is>
          <t>En juegos de suerte y azar</t>
        </is>
      </c>
      <c r="F50" s="397" t="n"/>
      <c r="G50" s="397" t="n"/>
      <c r="H50" s="397" t="n"/>
      <c r="I50" s="397" t="n"/>
      <c r="J50" s="397" t="n"/>
      <c r="K50" s="397" t="n"/>
      <c r="L50" s="397" t="n"/>
      <c r="M50" s="397" t="n"/>
      <c r="N50" s="397" t="n"/>
      <c r="O50" s="397" t="n"/>
      <c r="P50" s="397" t="n"/>
      <c r="Q50" s="397" t="n"/>
      <c r="R50" s="397" t="n"/>
      <c r="S50" s="39">
        <f>+S49+1</f>
        <v/>
      </c>
      <c r="T50" s="445" t="n">
        <v>0</v>
      </c>
      <c r="U50" s="397" t="n"/>
      <c r="V50" s="397" t="n"/>
      <c r="W50" s="397" t="n"/>
      <c r="X50" s="397" t="n"/>
      <c r="Y50" s="401" t="n"/>
      <c r="Z50" s="420" t="n"/>
      <c r="AA50" s="397" t="n"/>
      <c r="AB50" s="401" t="n"/>
      <c r="AC50" s="404" t="n"/>
      <c r="AD50" s="43" t="n">
        <v>3</v>
      </c>
      <c r="AE50" s="461" t="n"/>
      <c r="AF50" s="397" t="n"/>
      <c r="AG50" s="397" t="n"/>
      <c r="AH50" s="397" t="n"/>
      <c r="AI50" s="397" t="n"/>
      <c r="AJ50" s="397" t="n"/>
      <c r="AK50" s="397" t="n"/>
      <c r="AL50" s="397" t="n"/>
      <c r="AM50" s="397" t="n"/>
      <c r="AN50" s="401" t="n"/>
      <c r="AO50" s="396" t="n"/>
      <c r="AP50" s="45" t="n">
        <v>6</v>
      </c>
      <c r="AQ50" s="461" t="n"/>
      <c r="AR50" s="397" t="n"/>
      <c r="AS50" s="397" t="n"/>
      <c r="AT50" s="397" t="n"/>
      <c r="AU50" s="401" t="n"/>
      <c r="AV50" s="7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</row>
    <row r="51" ht="37.95" customHeight="1" thickBot="1">
      <c r="B51" s="462" t="inlineStr">
        <is>
          <t>101. No. Identificación signatario.</t>
        </is>
      </c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186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88" t="inlineStr">
        <is>
          <t>102.DV</t>
        </is>
      </c>
      <c r="Y51" s="89" t="n"/>
      <c r="Z51" s="463" t="inlineStr">
        <is>
          <t>Total anticipos IVA Régimen SIMPLE</t>
        </is>
      </c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3" t="n"/>
      <c r="AO51" s="464" t="n">
        <v>100</v>
      </c>
      <c r="AP51" s="465" t="n"/>
      <c r="AQ51" s="228">
        <f>SUM(AE48:AN50,AQ48:AU50)</f>
        <v/>
      </c>
      <c r="AR51" s="466" t="n"/>
      <c r="AS51" s="466" t="n"/>
      <c r="AT51" s="466" t="n"/>
      <c r="AU51" s="467" t="n"/>
      <c r="AV51" s="7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</row>
    <row r="52" ht="5.55" customHeight="1" thickBot="1">
      <c r="B52" s="100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2" t="n"/>
      <c r="T52" s="103" t="n"/>
      <c r="U52" s="468" t="inlineStr">
        <is>
          <t>997. Espacio exclusivo para el sello de la entidad recaudadora</t>
        </is>
      </c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3" t="n"/>
      <c r="AI52" s="46" t="n"/>
      <c r="AJ52" s="47" t="n"/>
      <c r="AK52" s="48" t="n"/>
      <c r="AL52" s="48" t="n"/>
      <c r="AM52" s="48" t="n"/>
      <c r="AN52" s="48" t="n"/>
      <c r="AO52" s="48" t="n"/>
      <c r="AP52" s="48" t="n"/>
      <c r="AQ52" s="49" t="n"/>
      <c r="AR52" s="50" t="n"/>
      <c r="AS52" s="50" t="n"/>
      <c r="AT52" s="50" t="n"/>
      <c r="AU52" s="51" t="n"/>
      <c r="AV52" s="7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</row>
    <row r="53" ht="19.5" customHeight="1" thickBot="1">
      <c r="B53" s="163" t="inlineStr">
        <is>
          <t>981. Cód. Representación</t>
        </is>
      </c>
      <c r="L53" s="104" t="n"/>
      <c r="M53" s="90" t="n"/>
      <c r="N53" s="91" t="n"/>
      <c r="O53" s="105" t="n"/>
      <c r="P53" s="105" t="n"/>
      <c r="Q53" s="105" t="n"/>
      <c r="R53" s="105" t="n"/>
      <c r="S53" s="95" t="n"/>
      <c r="T53" s="233" t="n"/>
      <c r="U53" s="413" t="n"/>
      <c r="AH53" s="407" t="n"/>
      <c r="AI53" s="53" t="n"/>
      <c r="AJ53" s="54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1" t="n"/>
      <c r="AV53" s="7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</row>
    <row r="54" ht="36.45" customHeight="1" thickBot="1">
      <c r="B54" s="249" t="inlineStr">
        <is>
          <t>Firma del declarante o de quien lo representa</t>
        </is>
      </c>
      <c r="S54" s="95" t="n"/>
      <c r="T54" s="233" t="n"/>
      <c r="U54" s="262" t="n"/>
      <c r="AI54" s="122" t="inlineStr">
        <is>
          <t>980. Pago total $</t>
        </is>
      </c>
      <c r="AM54" s="407" t="n"/>
      <c r="AN54" s="469" t="n"/>
      <c r="AO54" s="470" t="n"/>
      <c r="AP54" s="470" t="n"/>
      <c r="AQ54" s="470" t="n"/>
      <c r="AR54" s="470" t="n"/>
      <c r="AS54" s="470" t="n"/>
      <c r="AT54" s="465" t="n"/>
      <c r="AU54" s="51" t="n"/>
      <c r="AV54" s="7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</row>
    <row r="55" ht="19.5" customHeight="1" thickBot="1">
      <c r="A55" s="372" t="n"/>
      <c r="B55" s="372" t="n"/>
      <c r="C55" s="372" t="n"/>
      <c r="D55" s="372" t="n"/>
      <c r="E55" s="372" t="n"/>
      <c r="F55" s="372" t="n"/>
      <c r="G55" s="372" t="n"/>
      <c r="H55" s="372" t="n"/>
      <c r="I55" s="372" t="n"/>
      <c r="J55" s="372" t="n"/>
      <c r="K55" s="372" t="n"/>
      <c r="L55" s="372" t="n"/>
      <c r="M55" s="372" t="n"/>
      <c r="N55" s="372" t="n"/>
      <c r="O55" s="372" t="n"/>
      <c r="P55" s="372" t="n"/>
      <c r="Q55" s="372" t="n"/>
      <c r="R55" s="372" t="n"/>
      <c r="S55" s="95" t="n"/>
      <c r="T55" s="108" t="n"/>
      <c r="U55" s="413" t="n"/>
      <c r="AI55" s="55" t="n"/>
      <c r="AJ55" s="56" t="n"/>
      <c r="AK55" s="56" t="n"/>
      <c r="AL55" s="56" t="n"/>
      <c r="AM55" s="56" t="n"/>
      <c r="AN55" s="56" t="n"/>
      <c r="AO55" s="56" t="n"/>
      <c r="AP55" s="56" t="n"/>
      <c r="AQ55" s="56" t="n"/>
      <c r="AR55" s="56" t="n"/>
      <c r="AS55" s="56" t="n"/>
      <c r="AT55" s="56" t="n"/>
      <c r="AU55" s="57" t="n"/>
      <c r="AV55" s="7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</row>
    <row r="56" ht="19.5" customHeight="1">
      <c r="B56" s="107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95" t="n"/>
      <c r="T56" s="108" t="n"/>
      <c r="U56" s="413" t="n"/>
      <c r="AI56" s="471" t="inlineStr">
        <is>
          <t>996. Espacio para el número interno de la DIAN / Adhesivo</t>
        </is>
      </c>
      <c r="AJ56" s="382" t="n"/>
      <c r="AK56" s="382" t="n"/>
      <c r="AL56" s="382" t="n"/>
      <c r="AM56" s="382" t="n"/>
      <c r="AN56" s="382" t="n"/>
      <c r="AO56" s="382" t="n"/>
      <c r="AP56" s="382" t="n"/>
      <c r="AQ56" s="382" t="n"/>
      <c r="AR56" s="382" t="n"/>
      <c r="AS56" s="382" t="n"/>
      <c r="AT56" s="382" t="n"/>
      <c r="AU56" s="383" t="n"/>
      <c r="AV56" s="7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</row>
    <row r="57" ht="19.5" customHeight="1" thickBot="1">
      <c r="B57" s="110" t="n"/>
      <c r="C57" s="111" t="n"/>
      <c r="D57" s="111" t="n"/>
      <c r="E57" s="111" t="n"/>
      <c r="F57" s="111" t="n"/>
      <c r="G57" s="111" t="n"/>
      <c r="H57" s="111" t="n"/>
      <c r="I57" s="111" t="n"/>
      <c r="J57" s="111" t="n"/>
      <c r="K57" s="111" t="n"/>
      <c r="L57" s="111" t="n"/>
      <c r="M57" s="111" t="n"/>
      <c r="N57" s="111" t="n"/>
      <c r="O57" s="111" t="n"/>
      <c r="P57" s="111" t="n"/>
      <c r="Q57" s="111" t="n"/>
      <c r="R57" s="111" t="n"/>
      <c r="S57" s="112" t="n"/>
      <c r="T57" s="113" t="n"/>
      <c r="U57" s="413" t="n"/>
      <c r="AI57" s="413" t="n"/>
      <c r="AU57" s="407" t="n"/>
      <c r="AV57" s="7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</row>
    <row r="58" ht="10.5" customHeight="1" thickBot="1">
      <c r="B58" s="59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2" t="n"/>
      <c r="R58" s="50" t="n"/>
      <c r="S58" s="96" t="n"/>
      <c r="T58" s="97" t="n"/>
      <c r="U58" s="413" t="n"/>
      <c r="AI58" s="413" t="n"/>
      <c r="AU58" s="407" t="n"/>
      <c r="AV58" s="7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</row>
    <row r="59" ht="19.5" customHeight="1" thickBot="1">
      <c r="B59" s="472" t="inlineStr">
        <is>
          <t>982. Código Contador o Revisor Fiscal</t>
        </is>
      </c>
      <c r="O59" s="407" t="n"/>
      <c r="P59" s="60" t="n"/>
      <c r="Q59" s="52" t="n"/>
      <c r="R59" s="58" t="n"/>
      <c r="S59" s="96" t="n"/>
      <c r="T59" s="97" t="n"/>
      <c r="U59" s="413" t="n"/>
      <c r="AI59" s="413" t="n"/>
      <c r="AU59" s="407" t="n"/>
      <c r="AV59" s="7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</row>
    <row r="60" ht="19.5" customHeight="1" thickBot="1">
      <c r="B60" s="61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96" t="n"/>
      <c r="T60" s="97" t="n"/>
      <c r="U60" s="413" t="n"/>
      <c r="AI60" s="413" t="n"/>
      <c r="AU60" s="407" t="n"/>
      <c r="AV60" s="7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</row>
    <row r="61" ht="19.5" customHeight="1" thickBot="1">
      <c r="B61" s="473" t="inlineStr">
        <is>
          <t>Firma Contador o Revisor Fiscal 994. Con Salvedades</t>
        </is>
      </c>
      <c r="R61" s="407" t="n"/>
      <c r="S61" s="99" t="n"/>
      <c r="T61" s="97" t="n"/>
      <c r="U61" s="413" t="n"/>
      <c r="AI61" s="413" t="n"/>
      <c r="AU61" s="407" t="n"/>
      <c r="AV61" s="7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</row>
    <row r="62" ht="19.5" customHeight="1">
      <c r="B62" s="62" t="n"/>
      <c r="C62" s="63" t="n"/>
      <c r="D62" s="63" t="n"/>
      <c r="E62" s="63" t="n"/>
      <c r="F62" s="63" t="n"/>
      <c r="G62" s="63" t="n"/>
      <c r="H62" s="63" t="n"/>
      <c r="I62" s="50" t="n"/>
      <c r="J62" s="50" t="n"/>
      <c r="K62" s="54" t="n"/>
      <c r="L62" s="54" t="n"/>
      <c r="M62" s="50" t="n"/>
      <c r="N62" s="50" t="n"/>
      <c r="O62" s="50" t="n"/>
      <c r="P62" s="50" t="n"/>
      <c r="Q62" s="50" t="n"/>
      <c r="R62" s="50" t="n"/>
      <c r="S62" s="98" t="n"/>
      <c r="T62" s="93" t="n"/>
      <c r="U62" s="413" t="n"/>
      <c r="AI62" s="413" t="n"/>
      <c r="AU62" s="407" t="n"/>
      <c r="AV62" s="7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</row>
    <row r="63" ht="19.5" customHeight="1">
      <c r="B63" s="62" t="n"/>
      <c r="C63" s="64" t="n"/>
      <c r="D63" s="64" t="n"/>
      <c r="E63" s="64" t="n"/>
      <c r="F63" s="64" t="n"/>
      <c r="G63" s="64" t="n"/>
      <c r="H63" s="64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93" t="n"/>
      <c r="T63" s="94" t="n"/>
      <c r="U63" s="413" t="n"/>
      <c r="AI63" s="413" t="n"/>
      <c r="AU63" s="407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</row>
    <row r="64" ht="19.5" customHeight="1" thickBot="1">
      <c r="B64" s="474" t="inlineStr">
        <is>
          <t>983. No. Tarjeta profesional</t>
        </is>
      </c>
      <c r="C64" s="397" t="n"/>
      <c r="D64" s="397" t="n"/>
      <c r="E64" s="397" t="n"/>
      <c r="F64" s="397" t="n"/>
      <c r="G64" s="397" t="n"/>
      <c r="H64" s="397" t="n"/>
      <c r="I64" s="397" t="n"/>
      <c r="J64" s="397" t="n"/>
      <c r="K64" s="397" t="n"/>
      <c r="L64" s="401" t="n"/>
      <c r="M64" s="475" t="n"/>
      <c r="N64" s="397" t="n"/>
      <c r="O64" s="397" t="n"/>
      <c r="P64" s="397" t="n"/>
      <c r="Q64" s="397" t="n"/>
      <c r="R64" s="397" t="n"/>
      <c r="S64" s="397" t="n"/>
      <c r="T64" s="401" t="n"/>
      <c r="U64" s="420" t="n"/>
      <c r="V64" s="397" t="n"/>
      <c r="W64" s="397" t="n"/>
      <c r="X64" s="397" t="n"/>
      <c r="Y64" s="397" t="n"/>
      <c r="Z64" s="397" t="n"/>
      <c r="AA64" s="397" t="n"/>
      <c r="AB64" s="397" t="n"/>
      <c r="AC64" s="397" t="n"/>
      <c r="AD64" s="397" t="n"/>
      <c r="AE64" s="397" t="n"/>
      <c r="AF64" s="397" t="n"/>
      <c r="AG64" s="397" t="n"/>
      <c r="AH64" s="397" t="n"/>
      <c r="AI64" s="420" t="n"/>
      <c r="AJ64" s="397" t="n"/>
      <c r="AK64" s="397" t="n"/>
      <c r="AL64" s="397" t="n"/>
      <c r="AM64" s="397" t="n"/>
      <c r="AN64" s="397" t="n"/>
      <c r="AO64" s="397" t="n"/>
      <c r="AP64" s="397" t="n"/>
      <c r="AQ64" s="397" t="n"/>
      <c r="AR64" s="397" t="n"/>
      <c r="AS64" s="397" t="n"/>
      <c r="AT64" s="397" t="n"/>
      <c r="AU64" s="401" t="n"/>
      <c r="AV64" s="7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</row>
    <row r="65" ht="12" customHeight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</row>
    <row r="66" ht="12" customHeight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</row>
    <row r="67" ht="12" customHeight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</row>
    <row r="68" ht="12" customHeight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</row>
    <row r="69" ht="12" customHeight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</row>
    <row r="70" ht="12" customHeight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</row>
    <row r="71" ht="12" customHeight="1"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4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7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</row>
    <row r="72" ht="12" customHeight="1">
      <c r="B72" s="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4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7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</row>
    <row r="73" ht="12" customHeight="1"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4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7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</row>
    <row r="74" ht="12" customHeight="1"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4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7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</row>
    <row r="75" ht="12" customHeight="1">
      <c r="B75" s="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4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7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</row>
    <row r="76" ht="12" customHeight="1"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4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7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</row>
    <row r="77" ht="12" customHeight="1">
      <c r="B77" s="2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4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7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</row>
    <row r="78" ht="12" customHeight="1"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4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7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</row>
    <row r="79" ht="12" customHeight="1">
      <c r="B79" s="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4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7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</row>
    <row r="80" ht="12" customHeight="1"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4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7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</row>
    <row r="81" ht="12" customHeight="1">
      <c r="B81" s="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4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7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</row>
    <row r="82" ht="12" customHeight="1"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4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7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</row>
    <row r="83" ht="12" customHeight="1">
      <c r="B83" s="2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4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7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</row>
    <row r="84" ht="12" customHeight="1">
      <c r="B84" s="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4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7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</row>
    <row r="85" ht="12" customHeight="1">
      <c r="B85" s="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4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7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</row>
    <row r="86" ht="12" customHeight="1"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4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7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</row>
    <row r="87" ht="12" customHeight="1">
      <c r="B87" s="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4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7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</row>
    <row r="88" ht="12" customHeight="1"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4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7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</row>
    <row r="89" ht="12" customHeight="1"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4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7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</row>
    <row r="90" ht="12" customHeight="1">
      <c r="B90" s="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4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7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</row>
    <row r="91" ht="12" customHeight="1"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4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7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</row>
    <row r="92" ht="12" customHeight="1"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4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7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</row>
    <row r="93" ht="12" customHeight="1">
      <c r="B93" s="2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4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7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</row>
    <row r="94" ht="12" customHeight="1"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4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7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</row>
    <row r="95" ht="12" customHeight="1">
      <c r="B95" s="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4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7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</row>
    <row r="96" ht="12" customHeight="1"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4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7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</row>
    <row r="97" ht="12" customHeight="1">
      <c r="B97" s="2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4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7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</row>
    <row r="98" ht="12" customHeight="1"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4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7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</row>
    <row r="99" ht="12" customHeight="1">
      <c r="B99" s="2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4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7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</row>
    <row r="100" ht="12" customHeight="1"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4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7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</row>
    <row r="101" ht="12" customHeight="1">
      <c r="B101" s="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4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7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</row>
    <row r="102" ht="12" customHeight="1"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4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7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</row>
    <row r="103" ht="12" customHeight="1">
      <c r="B103" s="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4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7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</row>
    <row r="104" ht="12" customHeight="1"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4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7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</row>
    <row r="105" ht="12" customHeight="1">
      <c r="B105" s="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4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7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</row>
    <row r="106" ht="12" customHeight="1">
      <c r="B106" s="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4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7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</row>
    <row r="107" ht="12" customHeight="1">
      <c r="B107" s="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4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7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</row>
    <row r="108" ht="12" customHeight="1">
      <c r="B108" s="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4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7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</row>
    <row r="109" ht="12" customHeight="1">
      <c r="B109" s="2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4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7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</row>
    <row r="110" ht="12" customHeight="1">
      <c r="B110" s="2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4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7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</row>
    <row r="111" ht="12" customHeight="1">
      <c r="B111" s="2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4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7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</row>
    <row r="112" ht="12" customHeight="1">
      <c r="B112" s="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4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7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</row>
    <row r="113" ht="12" customHeight="1">
      <c r="B113" s="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4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7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</row>
    <row r="114" ht="12" customHeight="1"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4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7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</row>
    <row r="115" ht="12" customHeight="1">
      <c r="B115" s="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4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7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</row>
    <row r="116" ht="12" customHeight="1"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4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7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</row>
    <row r="117" ht="12" customHeight="1">
      <c r="B117" s="2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4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7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</row>
    <row r="118" ht="12" customHeight="1">
      <c r="B118" s="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4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7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</row>
    <row r="119" ht="12" customHeight="1">
      <c r="B119" s="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4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7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</row>
    <row r="120" ht="12" customHeight="1"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4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7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</row>
    <row r="121" ht="12" customHeight="1">
      <c r="B121" s="2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4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7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</row>
    <row r="122" ht="12" customHeight="1">
      <c r="B122" s="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4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7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</row>
    <row r="123" ht="12" customHeight="1">
      <c r="B123" s="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4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7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</row>
    <row r="124" ht="12" customHeight="1">
      <c r="B124" s="2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4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7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</row>
    <row r="125" ht="12" customHeight="1">
      <c r="B125" s="2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4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7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</row>
    <row r="126" ht="12" customHeight="1">
      <c r="B126" s="2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4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7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</row>
    <row r="127" ht="12" customHeight="1">
      <c r="B127" s="2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4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7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</row>
    <row r="128" ht="12" customHeight="1">
      <c r="B128" s="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4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7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</row>
    <row r="129" ht="12" customHeight="1">
      <c r="B129" s="2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4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7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</row>
    <row r="130" ht="12" customHeight="1"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4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7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</row>
    <row r="131" ht="12" customHeight="1">
      <c r="B131" s="2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4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7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</row>
    <row r="132" ht="12" customHeight="1">
      <c r="B132" s="2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4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7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</row>
    <row r="133" ht="12" customHeight="1">
      <c r="B133" s="2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4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7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</row>
    <row r="134" ht="12" customHeight="1">
      <c r="B134" s="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4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7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</row>
    <row r="135" ht="12" customHeight="1">
      <c r="B135" s="2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4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7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</row>
    <row r="136" ht="12" customHeight="1">
      <c r="B136" s="2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4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7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</row>
    <row r="137" ht="12" customHeight="1">
      <c r="B137" s="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4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7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</row>
    <row r="138" ht="12" customHeight="1">
      <c r="B138" s="2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4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7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</row>
    <row r="139" ht="12" customHeight="1">
      <c r="B139" s="2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4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7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</row>
    <row r="140" ht="12" customHeight="1">
      <c r="B140" s="2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4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7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</row>
    <row r="141" ht="12" customHeight="1">
      <c r="B141" s="2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4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7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</row>
    <row r="142" ht="12" customHeight="1">
      <c r="B142" s="2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4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7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</row>
    <row r="143" ht="12" customHeight="1">
      <c r="B143" s="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4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7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</row>
    <row r="144" ht="12" customHeight="1">
      <c r="B144" s="2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4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7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</row>
    <row r="145" ht="12" customHeight="1">
      <c r="B145" s="2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4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7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</row>
    <row r="146" ht="12" customHeight="1">
      <c r="B146" s="2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4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7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</row>
    <row r="147" ht="12" customHeight="1">
      <c r="B147" s="2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4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7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</row>
    <row r="148" ht="12" customHeight="1">
      <c r="B148" s="2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4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7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</row>
    <row r="149" ht="12" customHeight="1">
      <c r="B149" s="2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4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7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</row>
    <row r="150" ht="12" customHeight="1">
      <c r="B150" s="2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4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7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</row>
    <row r="151" ht="12" customHeight="1">
      <c r="B151" s="2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4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7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</row>
    <row r="152" ht="12" customHeight="1">
      <c r="B152" s="2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4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7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</row>
    <row r="153" ht="12" customHeight="1">
      <c r="B153" s="2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4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7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</row>
    <row r="154" ht="12" customHeight="1">
      <c r="B154" s="2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4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7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</row>
    <row r="155" ht="12" customHeight="1">
      <c r="B155" s="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4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7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</row>
    <row r="156" ht="12" customHeight="1">
      <c r="B156" s="2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4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7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</row>
    <row r="157" ht="12" customHeight="1">
      <c r="B157" s="2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4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7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</row>
    <row r="158" ht="12" customHeight="1">
      <c r="B158" s="2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4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7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</row>
    <row r="159" ht="12" customHeight="1">
      <c r="B159" s="2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4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7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</row>
    <row r="160" ht="12" customHeight="1">
      <c r="B160" s="2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4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7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</row>
    <row r="161" ht="12" customHeight="1">
      <c r="B161" s="2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4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7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</row>
    <row r="162" ht="12" customHeight="1">
      <c r="B162" s="2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4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7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</row>
    <row r="163" ht="12" customHeight="1">
      <c r="B163" s="2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4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7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</row>
    <row r="164" ht="12" customHeight="1">
      <c r="B164" s="2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4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7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</row>
    <row r="165" ht="12" customHeight="1">
      <c r="B165" s="2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4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7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</row>
    <row r="166" ht="12" customHeight="1">
      <c r="B166" s="2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4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7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</row>
    <row r="167" ht="12" customHeight="1">
      <c r="B167" s="2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4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7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</row>
    <row r="168" ht="12" customHeight="1">
      <c r="B168" s="2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4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7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</row>
    <row r="169" ht="12" customHeight="1">
      <c r="B169" s="2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4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7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</row>
    <row r="170" ht="12" customHeight="1">
      <c r="B170" s="2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4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7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</row>
    <row r="171" ht="12" customHeight="1">
      <c r="B171" s="2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4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7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</row>
    <row r="172" ht="12" customHeight="1">
      <c r="B172" s="2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4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7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</row>
    <row r="173" ht="12" customHeight="1">
      <c r="B173" s="2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4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7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</row>
    <row r="174" ht="12" customHeight="1">
      <c r="B174" s="2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4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7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</row>
    <row r="175" ht="12" customHeight="1">
      <c r="B175" s="2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4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7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</row>
    <row r="176" ht="12" customHeight="1">
      <c r="B176" s="2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4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7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</row>
    <row r="177" ht="12" customHeight="1">
      <c r="B177" s="2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4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7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</row>
    <row r="178" ht="12" customHeight="1">
      <c r="B178" s="2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4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7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</row>
    <row r="179" ht="12" customHeight="1">
      <c r="B179" s="2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4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7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</row>
    <row r="180" ht="12" customHeight="1">
      <c r="B180" s="2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4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7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</row>
    <row r="181" ht="12" customHeight="1">
      <c r="B181" s="2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4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7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</row>
    <row r="182" ht="12" customHeight="1">
      <c r="B182" s="2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4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7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</row>
    <row r="183" ht="12" customHeight="1">
      <c r="B183" s="2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4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7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</row>
    <row r="184" ht="12" customHeight="1">
      <c r="B184" s="2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4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7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</row>
    <row r="185" ht="12" customHeight="1">
      <c r="B185" s="2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4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7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</row>
    <row r="186" ht="12" customHeight="1">
      <c r="B186" s="2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4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7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</row>
    <row r="187" ht="12" customHeight="1">
      <c r="B187" s="2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4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7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</row>
    <row r="188" ht="12" customHeight="1">
      <c r="B188" s="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4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7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</row>
    <row r="189" ht="12" customHeight="1">
      <c r="B189" s="2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4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7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</row>
    <row r="190" ht="12" customHeight="1">
      <c r="B190" s="2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4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7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</row>
    <row r="191" ht="12" customHeight="1">
      <c r="B191" s="2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4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7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</row>
    <row r="192" ht="12" customHeight="1">
      <c r="B192" s="2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4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7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</row>
    <row r="193" ht="12" customHeight="1">
      <c r="B193" s="2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4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7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</row>
    <row r="194" ht="12" customHeight="1">
      <c r="B194" s="2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4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7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</row>
    <row r="195" ht="12" customHeight="1">
      <c r="B195" s="2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4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7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</row>
    <row r="196" ht="12" customHeight="1">
      <c r="B196" s="2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4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7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</row>
    <row r="197" ht="12" customHeight="1">
      <c r="B197" s="2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4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7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</row>
    <row r="198" ht="12" customHeight="1">
      <c r="B198" s="2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4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7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</row>
    <row r="199" ht="12" customHeight="1">
      <c r="B199" s="2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4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7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</row>
    <row r="200" ht="12" customHeight="1">
      <c r="B200" s="2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4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7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</row>
    <row r="201" ht="12" customHeight="1">
      <c r="B201" s="2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4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7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</row>
    <row r="202" ht="12" customHeight="1">
      <c r="B202" s="2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4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7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</row>
    <row r="203" ht="12" customHeight="1">
      <c r="B203" s="2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4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7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</row>
    <row r="204" ht="12" customHeight="1">
      <c r="B204" s="2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4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7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</row>
    <row r="205" ht="12" customHeight="1">
      <c r="B205" s="2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4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7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</row>
    <row r="206" ht="12" customHeight="1">
      <c r="B206" s="2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4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7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</row>
    <row r="207" ht="12" customHeight="1">
      <c r="B207" s="2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4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7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</row>
    <row r="208" ht="12" customHeight="1">
      <c r="B208" s="2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4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7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</row>
    <row r="209" ht="12" customHeight="1">
      <c r="B209" s="2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4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7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</row>
    <row r="210" ht="12" customHeight="1">
      <c r="B210" s="2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4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7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</row>
    <row r="211" ht="12" customHeight="1">
      <c r="B211" s="2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4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7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</row>
    <row r="212" ht="12" customHeight="1">
      <c r="B212" s="2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4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7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</row>
    <row r="213" ht="12" customHeight="1">
      <c r="B213" s="2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4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7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</row>
    <row r="214" ht="12" customHeight="1">
      <c r="B214" s="2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4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7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</row>
    <row r="215" ht="12" customHeight="1">
      <c r="B215" s="2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4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7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</row>
    <row r="216" ht="12" customHeight="1">
      <c r="B216" s="2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4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7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</row>
    <row r="217" ht="12" customHeight="1">
      <c r="B217" s="2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4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7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</row>
    <row r="218" ht="12" customHeight="1">
      <c r="B218" s="2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4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7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</row>
    <row r="219" ht="12" customHeight="1">
      <c r="B219" s="2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4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7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</row>
    <row r="220" ht="12" customHeight="1">
      <c r="B220" s="2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4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7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</row>
    <row r="221" ht="12" customHeight="1">
      <c r="B221" s="2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4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7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</row>
    <row r="222" ht="12" customHeight="1">
      <c r="B222" s="2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4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7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</row>
    <row r="223" ht="12" customHeight="1">
      <c r="B223" s="2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4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7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</row>
    <row r="224" ht="12" customHeight="1">
      <c r="B224" s="2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4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7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</row>
    <row r="225" ht="12" customHeight="1">
      <c r="B225" s="2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4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7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</row>
    <row r="226" ht="12" customHeight="1">
      <c r="B226" s="2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4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7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</row>
    <row r="227" ht="12" customHeight="1">
      <c r="B227" s="2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4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7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</row>
    <row r="228" ht="12" customHeight="1">
      <c r="B228" s="2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4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7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</row>
    <row r="229" ht="12" customHeight="1">
      <c r="B229" s="2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4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7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</row>
    <row r="230" ht="12" customHeight="1">
      <c r="B230" s="2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4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7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</row>
    <row r="231" ht="12" customHeight="1">
      <c r="B231" s="2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4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7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</row>
    <row r="232" ht="12" customHeight="1">
      <c r="B232" s="2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4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7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</row>
    <row r="233" ht="12" customHeight="1">
      <c r="B233" s="2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4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7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</row>
    <row r="234" ht="12" customHeight="1">
      <c r="B234" s="2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4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7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</row>
    <row r="235" ht="12" customHeight="1">
      <c r="B235" s="2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4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7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</row>
    <row r="236" ht="12" customHeight="1">
      <c r="B236" s="2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4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7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</row>
    <row r="237" ht="12" customHeight="1">
      <c r="B237" s="2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4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7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</row>
    <row r="238" ht="12" customHeight="1">
      <c r="B238" s="2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4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7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</row>
    <row r="239" ht="12" customHeight="1">
      <c r="B239" s="2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4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7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</row>
    <row r="240" ht="12" customHeight="1">
      <c r="B240" s="2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4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7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</row>
    <row r="241" ht="12" customHeight="1">
      <c r="B241" s="2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4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7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</row>
    <row r="242" ht="12" customHeight="1">
      <c r="B242" s="2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4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7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</row>
    <row r="243" ht="12" customHeight="1">
      <c r="B243" s="2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4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7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</row>
    <row r="244" ht="12" customHeight="1">
      <c r="B244" s="2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4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7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</row>
    <row r="245" ht="12" customHeight="1">
      <c r="B245" s="2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4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7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</row>
    <row r="246" ht="12" customHeight="1">
      <c r="B246" s="2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4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7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</row>
    <row r="247" ht="12" customHeight="1">
      <c r="B247" s="2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4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7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</row>
    <row r="248" ht="12" customHeight="1">
      <c r="B248" s="2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4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7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</row>
    <row r="249" ht="12" customHeight="1">
      <c r="B249" s="2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4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7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</row>
    <row r="250" ht="12" customHeight="1">
      <c r="B250" s="2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4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7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</row>
    <row r="251" ht="12" customHeight="1">
      <c r="B251" s="2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4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7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</row>
    <row r="252" ht="12" customHeight="1">
      <c r="B252" s="2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4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7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</row>
    <row r="253" ht="12" customHeight="1">
      <c r="B253" s="2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4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7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</row>
    <row r="254" ht="12" customHeight="1">
      <c r="B254" s="2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4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7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</row>
    <row r="255" ht="12" customHeight="1">
      <c r="B255" s="2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4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7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</row>
    <row r="256" ht="12" customHeight="1">
      <c r="B256" s="2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4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7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</row>
    <row r="257" ht="12" customHeight="1">
      <c r="B257" s="2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4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7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</row>
    <row r="258" ht="12" customHeight="1">
      <c r="B258" s="2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4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7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</row>
    <row r="259" ht="12" customHeight="1">
      <c r="B259" s="2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4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7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</row>
    <row r="260" ht="12" customHeight="1">
      <c r="B260" s="2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4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7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</row>
    <row r="261" ht="12" customHeight="1">
      <c r="B261" s="2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4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7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</row>
    <row r="262" ht="12" customHeight="1">
      <c r="B262" s="2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4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7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</row>
    <row r="263" ht="12" customHeight="1">
      <c r="B263" s="2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4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7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</row>
    <row r="264" ht="12" customHeight="1">
      <c r="B264" s="2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4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7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</row>
    <row r="265" ht="12" customHeight="1">
      <c r="B265" s="2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4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7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</row>
    <row r="266" ht="12" customHeight="1">
      <c r="B266" s="2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4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7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</row>
    <row r="267" ht="12" customHeight="1">
      <c r="B267" s="2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4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7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</row>
    <row r="268" ht="12" customHeight="1">
      <c r="B268" s="2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4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7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</row>
    <row r="269" ht="12" customHeight="1">
      <c r="B269" s="2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4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7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</row>
    <row r="270" ht="12" customHeight="1">
      <c r="B270" s="2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4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7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</row>
    <row r="271" ht="12" customHeight="1">
      <c r="B271" s="2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4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7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</row>
    <row r="272" ht="12" customHeight="1">
      <c r="B272" s="2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4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7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</row>
    <row r="273" ht="12" customHeight="1">
      <c r="B273" s="2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4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7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</row>
    <row r="274" ht="12" customHeight="1">
      <c r="B274" s="2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4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7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</row>
    <row r="275" ht="12" customHeight="1">
      <c r="B275" s="2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4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7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</row>
    <row r="276" ht="12" customHeight="1">
      <c r="B276" s="2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4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7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</row>
    <row r="277" ht="12" customHeight="1">
      <c r="B277" s="2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4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7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</row>
    <row r="278" ht="12" customHeight="1">
      <c r="B278" s="2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4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7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</row>
    <row r="279" ht="12" customHeight="1">
      <c r="B279" s="2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4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7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</row>
    <row r="280" ht="12" customHeight="1">
      <c r="B280" s="2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4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7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</row>
    <row r="281" ht="12" customHeight="1">
      <c r="B281" s="2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4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7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</row>
    <row r="282" ht="12" customHeight="1">
      <c r="B282" s="2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4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7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</row>
    <row r="283" ht="12" customHeight="1">
      <c r="B283" s="2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4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7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</row>
    <row r="284" ht="12" customHeight="1">
      <c r="B284" s="2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4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7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</row>
    <row r="285" ht="12" customHeight="1">
      <c r="B285" s="2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4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7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</row>
    <row r="286" ht="12" customHeight="1">
      <c r="B286" s="2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4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7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</row>
    <row r="287" ht="12" customHeight="1">
      <c r="B287" s="2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4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7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  <c r="BI287" s="3" t="n"/>
      <c r="BJ287" s="3" t="n"/>
      <c r="BK287" s="3" t="n"/>
      <c r="BL287" s="3" t="n"/>
      <c r="BM287" s="3" t="n"/>
      <c r="BN287" s="3" t="n"/>
    </row>
    <row r="288" ht="12" customHeight="1">
      <c r="B288" s="2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4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7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</row>
    <row r="289" ht="12" customHeight="1">
      <c r="B289" s="2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4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7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</row>
    <row r="290" ht="12" customHeight="1">
      <c r="B290" s="2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4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7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</row>
    <row r="291" ht="12" customHeight="1">
      <c r="B291" s="2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4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7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</row>
    <row r="292" ht="12" customHeight="1">
      <c r="B292" s="2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4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7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</row>
    <row r="293" ht="12" customHeight="1">
      <c r="B293" s="2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4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7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</row>
    <row r="294" ht="12" customHeight="1">
      <c r="B294" s="2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4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7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</row>
    <row r="295" ht="12" customHeight="1">
      <c r="B295" s="2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4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7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</row>
    <row r="296" ht="12" customHeight="1">
      <c r="B296" s="2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4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7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</row>
    <row r="297" ht="12" customHeight="1">
      <c r="B297" s="2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4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7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</row>
    <row r="298" ht="12" customHeight="1">
      <c r="B298" s="2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4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7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</row>
    <row r="299" ht="12" customHeight="1">
      <c r="B299" s="2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4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7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</row>
    <row r="300" ht="12" customHeight="1">
      <c r="B300" s="2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4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7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</row>
    <row r="301" ht="12" customHeight="1">
      <c r="B301" s="2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4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7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</row>
    <row r="302" ht="12" customHeight="1">
      <c r="B302" s="2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4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7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</row>
    <row r="303" ht="12" customHeight="1">
      <c r="B303" s="2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4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7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</row>
    <row r="304" ht="12" customHeight="1">
      <c r="B304" s="2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4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7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</row>
    <row r="305" ht="12" customHeight="1">
      <c r="B305" s="2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4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7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</row>
    <row r="306" ht="12" customHeight="1">
      <c r="B306" s="2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4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7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</row>
    <row r="307" ht="12" customHeight="1">
      <c r="B307" s="2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4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7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</row>
    <row r="308" ht="12" customHeight="1">
      <c r="B308" s="2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4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7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</row>
    <row r="309" ht="12" customHeight="1">
      <c r="B309" s="2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4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7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</row>
    <row r="310" ht="12" customHeight="1">
      <c r="B310" s="2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4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7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</row>
    <row r="311" ht="12" customHeight="1">
      <c r="B311" s="2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4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7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</row>
    <row r="312" ht="12" customHeight="1">
      <c r="B312" s="2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4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7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</row>
    <row r="313" ht="12" customHeight="1">
      <c r="B313" s="2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4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7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</row>
    <row r="314" ht="12" customHeight="1">
      <c r="B314" s="2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4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7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</row>
    <row r="315" ht="12" customHeight="1">
      <c r="B315" s="2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4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7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</row>
    <row r="316" ht="12" customHeight="1">
      <c r="B316" s="2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4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7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</row>
    <row r="317" ht="12" customHeight="1">
      <c r="B317" s="2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4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7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</row>
    <row r="318" ht="12" customHeight="1">
      <c r="B318" s="2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4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7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</row>
    <row r="319" ht="12" customHeight="1">
      <c r="B319" s="2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4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7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</row>
    <row r="320" ht="12" customHeight="1">
      <c r="B320" s="2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4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7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</row>
    <row r="321" ht="12" customHeight="1">
      <c r="B321" s="2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4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7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</row>
    <row r="322" ht="12" customHeight="1">
      <c r="B322" s="2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4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7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</row>
    <row r="323" ht="12" customHeight="1">
      <c r="B323" s="2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4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7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</row>
    <row r="324" ht="12" customHeight="1">
      <c r="B324" s="2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4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7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</row>
    <row r="325" ht="12" customHeight="1">
      <c r="B325" s="2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4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7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</row>
    <row r="326" ht="12" customHeight="1">
      <c r="B326" s="2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4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7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</row>
    <row r="327" ht="12" customHeight="1">
      <c r="B327" s="2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4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7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</row>
    <row r="328" ht="12" customHeight="1">
      <c r="B328" s="2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4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7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</row>
    <row r="329" ht="12" customHeight="1">
      <c r="B329" s="2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4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7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</row>
    <row r="330" ht="12" customHeight="1">
      <c r="B330" s="2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4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7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</row>
    <row r="331" ht="12" customHeight="1">
      <c r="B331" s="2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4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7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</row>
    <row r="332" ht="12" customHeight="1">
      <c r="B332" s="2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4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7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</row>
    <row r="333" ht="12" customHeight="1">
      <c r="B333" s="2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4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7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</row>
    <row r="334" ht="12" customHeight="1">
      <c r="B334" s="2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4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7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</row>
    <row r="335" ht="12" customHeight="1">
      <c r="B335" s="2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4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7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</row>
    <row r="336" ht="12" customHeight="1">
      <c r="B336" s="2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4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7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</row>
    <row r="337" ht="12" customHeight="1">
      <c r="B337" s="2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4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7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</row>
    <row r="338" ht="12" customHeight="1">
      <c r="B338" s="2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4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7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</row>
    <row r="339" ht="12" customHeight="1">
      <c r="B339" s="2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4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7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</row>
    <row r="340" ht="12" customHeight="1">
      <c r="B340" s="2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4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7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</row>
    <row r="341" ht="12" customHeight="1">
      <c r="B341" s="2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4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7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</row>
    <row r="342" ht="12" customHeight="1">
      <c r="B342" s="2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4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7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</row>
    <row r="343" ht="12" customHeight="1">
      <c r="B343" s="2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4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7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</row>
    <row r="344" ht="12" customHeight="1">
      <c r="B344" s="2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4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7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</row>
    <row r="345" ht="12" customHeight="1">
      <c r="B345" s="2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4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7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</row>
    <row r="346" ht="12" customHeight="1">
      <c r="B346" s="2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4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7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</row>
    <row r="347" ht="12" customHeight="1">
      <c r="B347" s="2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4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7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</row>
    <row r="348" ht="12" customHeight="1">
      <c r="B348" s="2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4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7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</row>
    <row r="349" ht="12" customHeight="1">
      <c r="B349" s="2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4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7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</row>
    <row r="350" ht="12" customHeight="1">
      <c r="B350" s="2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4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7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</row>
    <row r="351" ht="12" customHeight="1">
      <c r="B351" s="2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4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7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</row>
    <row r="352" ht="12" customHeight="1">
      <c r="B352" s="2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4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7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</row>
    <row r="353" ht="12" customHeight="1">
      <c r="B353" s="2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4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7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</row>
    <row r="354" ht="12" customHeight="1">
      <c r="B354" s="2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4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7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</row>
    <row r="355" ht="12" customHeight="1">
      <c r="B355" s="2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4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7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</row>
    <row r="356" ht="12" customHeight="1">
      <c r="B356" s="2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4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7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</row>
    <row r="357" ht="12" customHeight="1">
      <c r="B357" s="2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4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7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</row>
    <row r="358" ht="12" customHeight="1">
      <c r="B358" s="2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4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7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</row>
    <row r="359" ht="12" customHeight="1">
      <c r="B359" s="2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4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7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</row>
    <row r="360" ht="12" customHeight="1">
      <c r="B360" s="2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4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7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</row>
    <row r="361" ht="12" customHeight="1">
      <c r="B361" s="2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4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7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</row>
    <row r="362" ht="12" customHeight="1">
      <c r="B362" s="2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4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7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</row>
    <row r="363" ht="12" customHeight="1">
      <c r="B363" s="2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4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7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</row>
    <row r="364" ht="12" customHeight="1">
      <c r="B364" s="2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4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7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</row>
    <row r="365" ht="12" customHeight="1">
      <c r="B365" s="2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4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7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</row>
    <row r="366" ht="12" customHeight="1">
      <c r="B366" s="2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4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7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</row>
    <row r="367" ht="12" customHeight="1">
      <c r="B367" s="2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4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7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</row>
    <row r="368" ht="12" customHeight="1">
      <c r="B368" s="2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4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7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</row>
    <row r="369" ht="12" customHeight="1">
      <c r="B369" s="2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4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7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</row>
    <row r="370" ht="12" customHeight="1">
      <c r="B370" s="2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4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7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</row>
    <row r="371" ht="12" customHeight="1">
      <c r="B371" s="2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4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7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</row>
    <row r="372" ht="12" customHeight="1">
      <c r="B372" s="2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4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7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</row>
    <row r="373" ht="12" customHeight="1">
      <c r="B373" s="2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4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7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</row>
    <row r="374" ht="12" customHeight="1">
      <c r="B374" s="2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4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7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</row>
    <row r="375" ht="12" customHeight="1">
      <c r="B375" s="2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4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7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</row>
    <row r="376" ht="12" customHeight="1">
      <c r="B376" s="2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4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7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</row>
    <row r="377" ht="12" customHeight="1">
      <c r="B377" s="2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4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7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</row>
    <row r="378" ht="12" customHeight="1">
      <c r="B378" s="2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4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7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</row>
    <row r="379" ht="12" customHeight="1">
      <c r="B379" s="2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4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7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</row>
    <row r="380" ht="12" customHeight="1">
      <c r="B380" s="2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4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7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</row>
    <row r="381" ht="12" customHeight="1">
      <c r="B381" s="2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4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7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</row>
    <row r="382" ht="12" customHeight="1">
      <c r="B382" s="2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4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7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</row>
    <row r="383" ht="12" customHeight="1">
      <c r="B383" s="2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4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7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</row>
    <row r="384" ht="12" customHeight="1">
      <c r="B384" s="2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4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7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</row>
    <row r="385" ht="12" customHeight="1">
      <c r="B385" s="2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4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7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</row>
    <row r="386" ht="12" customHeight="1">
      <c r="B386" s="2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4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7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</row>
    <row r="387" ht="12" customHeight="1">
      <c r="B387" s="2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4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7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</row>
    <row r="388" ht="12" customHeight="1">
      <c r="B388" s="2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4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7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</row>
    <row r="389" ht="12" customHeight="1">
      <c r="B389" s="2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4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7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</row>
    <row r="390" ht="12" customHeight="1">
      <c r="B390" s="2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4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7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</row>
    <row r="391" ht="12" customHeight="1">
      <c r="B391" s="2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4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7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</row>
    <row r="392" ht="12" customHeight="1">
      <c r="B392" s="2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4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7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</row>
    <row r="393" ht="12" customHeight="1">
      <c r="B393" s="2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4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7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</row>
    <row r="394" ht="12" customHeight="1">
      <c r="B394" s="2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4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7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</row>
    <row r="395" ht="12" customHeight="1">
      <c r="B395" s="2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4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7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</row>
    <row r="396" ht="12" customHeight="1">
      <c r="B396" s="2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4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7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</row>
    <row r="397" ht="12" customHeight="1">
      <c r="B397" s="2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4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7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</row>
    <row r="398" ht="12" customHeight="1">
      <c r="B398" s="2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4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7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</row>
    <row r="399" ht="12" customHeight="1">
      <c r="B399" s="2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4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7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</row>
    <row r="400" ht="12" customHeight="1">
      <c r="B400" s="2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4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7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</row>
    <row r="401" ht="12" customHeight="1">
      <c r="B401" s="2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4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7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</row>
    <row r="402" ht="12" customHeight="1">
      <c r="B402" s="2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4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7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</row>
    <row r="403" ht="12" customHeight="1">
      <c r="B403" s="2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4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7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</row>
    <row r="404" ht="12" customHeight="1">
      <c r="B404" s="2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4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7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</row>
    <row r="405" ht="12" customHeight="1">
      <c r="B405" s="2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4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7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</row>
    <row r="406" ht="12" customHeight="1">
      <c r="B406" s="2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4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7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</row>
    <row r="407" ht="12" customHeight="1">
      <c r="B407" s="2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4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7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</row>
    <row r="408" ht="12" customHeight="1">
      <c r="B408" s="2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4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7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</row>
    <row r="409" ht="12" customHeight="1">
      <c r="B409" s="2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4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7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</row>
    <row r="410" ht="12" customHeight="1">
      <c r="B410" s="2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4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7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</row>
    <row r="411" ht="12" customHeight="1">
      <c r="B411" s="2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4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7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</row>
    <row r="412" ht="12" customHeight="1">
      <c r="B412" s="2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4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7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</row>
    <row r="413" ht="12" customHeight="1">
      <c r="B413" s="2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4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7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</row>
    <row r="414" ht="12" customHeight="1">
      <c r="B414" s="2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4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7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</row>
    <row r="415" ht="12" customHeight="1">
      <c r="B415" s="2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4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7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</row>
    <row r="416" ht="12" customHeight="1">
      <c r="B416" s="2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4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7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</row>
    <row r="417" ht="12" customHeight="1">
      <c r="B417" s="2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4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7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</row>
    <row r="418" ht="12" customHeight="1">
      <c r="B418" s="2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4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7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</row>
    <row r="419" ht="12" customHeight="1">
      <c r="B419" s="2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4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7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</row>
    <row r="420" ht="12" customHeight="1">
      <c r="B420" s="2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4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7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</row>
    <row r="421" ht="12" customHeight="1">
      <c r="B421" s="2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4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7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</row>
    <row r="422" ht="12" customHeight="1">
      <c r="B422" s="2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4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7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</row>
    <row r="423" ht="12" customHeight="1">
      <c r="B423" s="2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4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7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</row>
    <row r="424" ht="12" customHeight="1">
      <c r="B424" s="2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4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7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</row>
    <row r="425" ht="12" customHeight="1">
      <c r="B425" s="2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4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7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</row>
    <row r="426" ht="12" customHeight="1">
      <c r="B426" s="2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4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7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</row>
    <row r="427" ht="12" customHeight="1">
      <c r="B427" s="2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4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7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</row>
    <row r="428" ht="12" customHeight="1">
      <c r="B428" s="2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4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7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</row>
    <row r="429" ht="12" customHeight="1">
      <c r="B429" s="2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4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7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</row>
    <row r="430" ht="12" customHeight="1">
      <c r="B430" s="2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4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7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</row>
    <row r="431" ht="12" customHeight="1">
      <c r="B431" s="2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4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7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</row>
    <row r="432" ht="12" customHeight="1">
      <c r="B432" s="2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4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7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</row>
    <row r="433" ht="12" customHeight="1">
      <c r="B433" s="2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4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7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</row>
    <row r="434" ht="12" customHeight="1">
      <c r="B434" s="2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4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7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</row>
    <row r="435" ht="12" customHeight="1">
      <c r="B435" s="2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4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7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</row>
    <row r="436" ht="12" customHeight="1">
      <c r="B436" s="2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4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7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</row>
    <row r="437" ht="12" customHeight="1">
      <c r="B437" s="2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4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7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</row>
    <row r="438" ht="12" customHeight="1">
      <c r="B438" s="2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4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7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</row>
    <row r="439" ht="12" customHeight="1">
      <c r="B439" s="2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4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7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</row>
    <row r="440" ht="12" customHeight="1">
      <c r="B440" s="2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4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7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</row>
    <row r="441" ht="12" customHeight="1">
      <c r="B441" s="2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4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7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</row>
    <row r="442" ht="12" customHeight="1">
      <c r="B442" s="2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4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7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</row>
    <row r="443" ht="12" customHeight="1">
      <c r="B443" s="2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4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7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</row>
    <row r="444" ht="12" customHeight="1">
      <c r="B444" s="2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4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7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</row>
    <row r="445" ht="12" customHeight="1">
      <c r="B445" s="2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4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7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</row>
    <row r="446" ht="12" customHeight="1">
      <c r="B446" s="2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4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7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</row>
    <row r="447" ht="12" customHeight="1">
      <c r="B447" s="2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4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7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</row>
    <row r="448" ht="12" customHeight="1">
      <c r="B448" s="2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4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7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</row>
    <row r="449" ht="12" customHeight="1">
      <c r="B449" s="2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4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7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</row>
    <row r="450" ht="12" customHeight="1">
      <c r="B450" s="2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4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7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</row>
    <row r="451" ht="12" customHeight="1">
      <c r="B451" s="2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4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7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</row>
    <row r="452" ht="12" customHeight="1">
      <c r="B452" s="2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4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7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</row>
    <row r="453" ht="12" customHeight="1">
      <c r="B453" s="2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4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7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</row>
    <row r="454" ht="12" customHeight="1">
      <c r="B454" s="2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4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7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</row>
    <row r="455" ht="12" customHeight="1">
      <c r="B455" s="2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4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7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</row>
    <row r="456" ht="12" customHeight="1">
      <c r="B456" s="2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4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7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n"/>
      <c r="BG456" s="3" t="n"/>
      <c r="BH456" s="3" t="n"/>
      <c r="BI456" s="3" t="n"/>
      <c r="BJ456" s="3" t="n"/>
      <c r="BK456" s="3" t="n"/>
      <c r="BL456" s="3" t="n"/>
      <c r="BM456" s="3" t="n"/>
      <c r="BN456" s="3" t="n"/>
    </row>
    <row r="457" ht="12" customHeight="1">
      <c r="B457" s="2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4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7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3" t="n"/>
      <c r="BG457" s="3" t="n"/>
      <c r="BH457" s="3" t="n"/>
      <c r="BI457" s="3" t="n"/>
      <c r="BJ457" s="3" t="n"/>
      <c r="BK457" s="3" t="n"/>
      <c r="BL457" s="3" t="n"/>
      <c r="BM457" s="3" t="n"/>
      <c r="BN457" s="3" t="n"/>
    </row>
    <row r="458" ht="12" customHeight="1">
      <c r="B458" s="2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4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7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</row>
    <row r="459" ht="12" customHeight="1">
      <c r="B459" s="2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4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7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</row>
    <row r="460" ht="12" customHeight="1">
      <c r="B460" s="2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4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7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</row>
    <row r="461" ht="12" customHeight="1">
      <c r="B461" s="2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4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7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3" t="n"/>
      <c r="BG461" s="3" t="n"/>
      <c r="BH461" s="3" t="n"/>
      <c r="BI461" s="3" t="n"/>
      <c r="BJ461" s="3" t="n"/>
      <c r="BK461" s="3" t="n"/>
      <c r="BL461" s="3" t="n"/>
      <c r="BM461" s="3" t="n"/>
      <c r="BN461" s="3" t="n"/>
    </row>
    <row r="462" ht="12" customHeight="1">
      <c r="B462" s="2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4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7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</row>
    <row r="463" ht="12" customHeight="1">
      <c r="B463" s="2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4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7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3" t="n"/>
      <c r="BG463" s="3" t="n"/>
      <c r="BH463" s="3" t="n"/>
      <c r="BI463" s="3" t="n"/>
      <c r="BJ463" s="3" t="n"/>
      <c r="BK463" s="3" t="n"/>
      <c r="BL463" s="3" t="n"/>
      <c r="BM463" s="3" t="n"/>
      <c r="BN463" s="3" t="n"/>
    </row>
    <row r="464" ht="12" customHeight="1">
      <c r="B464" s="2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4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7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</row>
    <row r="465" ht="12" customHeight="1">
      <c r="B465" s="2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4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7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/>
      <c r="BL465" s="3" t="n"/>
      <c r="BM465" s="3" t="n"/>
      <c r="BN465" s="3" t="n"/>
    </row>
    <row r="466" ht="12" customHeight="1">
      <c r="B466" s="2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4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7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</row>
    <row r="467" ht="12" customHeight="1">
      <c r="B467" s="2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4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7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n"/>
      <c r="BI467" s="3" t="n"/>
      <c r="BJ467" s="3" t="n"/>
      <c r="BK467" s="3" t="n"/>
      <c r="BL467" s="3" t="n"/>
      <c r="BM467" s="3" t="n"/>
      <c r="BN467" s="3" t="n"/>
    </row>
    <row r="468" ht="12" customHeight="1">
      <c r="B468" s="2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4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7" t="n"/>
      <c r="AW468" s="3" t="n"/>
      <c r="AX468" s="3" t="n"/>
      <c r="AY468" s="3" t="n"/>
      <c r="AZ468" s="3" t="n"/>
      <c r="BA468" s="3" t="n"/>
      <c r="BB468" s="3" t="n"/>
      <c r="BC468" s="3" t="n"/>
      <c r="BD468" s="3" t="n"/>
      <c r="BE468" s="3" t="n"/>
      <c r="BF468" s="3" t="n"/>
      <c r="BG468" s="3" t="n"/>
      <c r="BH468" s="3" t="n"/>
      <c r="BI468" s="3" t="n"/>
      <c r="BJ468" s="3" t="n"/>
      <c r="BK468" s="3" t="n"/>
      <c r="BL468" s="3" t="n"/>
      <c r="BM468" s="3" t="n"/>
      <c r="BN468" s="3" t="n"/>
    </row>
    <row r="469" ht="12" customHeight="1">
      <c r="B469" s="2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4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7" t="n"/>
      <c r="AW469" s="3" t="n"/>
      <c r="AX469" s="3" t="n"/>
      <c r="AY469" s="3" t="n"/>
      <c r="AZ469" s="3" t="n"/>
      <c r="BA469" s="3" t="n"/>
      <c r="BB469" s="3" t="n"/>
      <c r="BC469" s="3" t="n"/>
      <c r="BD469" s="3" t="n"/>
      <c r="BE469" s="3" t="n"/>
      <c r="BF469" s="3" t="n"/>
      <c r="BG469" s="3" t="n"/>
      <c r="BH469" s="3" t="n"/>
      <c r="BI469" s="3" t="n"/>
      <c r="BJ469" s="3" t="n"/>
      <c r="BK469" s="3" t="n"/>
      <c r="BL469" s="3" t="n"/>
      <c r="BM469" s="3" t="n"/>
      <c r="BN469" s="3" t="n"/>
    </row>
    <row r="470" ht="12" customHeight="1">
      <c r="B470" s="2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4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7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</row>
    <row r="471" ht="12" customHeight="1">
      <c r="B471" s="2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4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7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</row>
    <row r="472" ht="12" customHeight="1">
      <c r="B472" s="2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4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7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</row>
    <row r="473" ht="12" customHeight="1">
      <c r="B473" s="2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4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7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n"/>
      <c r="BI473" s="3" t="n"/>
      <c r="BJ473" s="3" t="n"/>
      <c r="BK473" s="3" t="n"/>
      <c r="BL473" s="3" t="n"/>
      <c r="BM473" s="3" t="n"/>
      <c r="BN473" s="3" t="n"/>
    </row>
    <row r="474" ht="12" customHeight="1">
      <c r="B474" s="2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4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7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</row>
    <row r="475" ht="12" customHeight="1">
      <c r="B475" s="2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4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7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3" t="n"/>
      <c r="BG475" s="3" t="n"/>
      <c r="BH475" s="3" t="n"/>
      <c r="BI475" s="3" t="n"/>
      <c r="BJ475" s="3" t="n"/>
      <c r="BK475" s="3" t="n"/>
      <c r="BL475" s="3" t="n"/>
      <c r="BM475" s="3" t="n"/>
      <c r="BN475" s="3" t="n"/>
    </row>
    <row r="476" ht="12" customHeight="1">
      <c r="B476" s="2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4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7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</row>
    <row r="477" ht="12" customHeight="1">
      <c r="B477" s="2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4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7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</row>
    <row r="478" ht="12" customHeight="1">
      <c r="B478" s="2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4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7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</row>
    <row r="479" ht="12" customHeight="1">
      <c r="B479" s="2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4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7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/>
      <c r="BL479" s="3" t="n"/>
      <c r="BM479" s="3" t="n"/>
      <c r="BN479" s="3" t="n"/>
    </row>
    <row r="480" ht="12" customHeight="1">
      <c r="B480" s="2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4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7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</row>
    <row r="481" ht="12" customHeight="1">
      <c r="B481" s="2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4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7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3" t="n"/>
      <c r="BG481" s="3" t="n"/>
      <c r="BH481" s="3" t="n"/>
      <c r="BI481" s="3" t="n"/>
      <c r="BJ481" s="3" t="n"/>
      <c r="BK481" s="3" t="n"/>
      <c r="BL481" s="3" t="n"/>
      <c r="BM481" s="3" t="n"/>
      <c r="BN481" s="3" t="n"/>
    </row>
    <row r="482" ht="12" customHeight="1">
      <c r="B482" s="2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4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7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</row>
    <row r="483" ht="12" customHeight="1">
      <c r="B483" s="2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4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7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N483" s="3" t="n"/>
    </row>
    <row r="484" ht="12" customHeight="1">
      <c r="B484" s="2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4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7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</row>
    <row r="485" ht="12" customHeight="1">
      <c r="B485" s="2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4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7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</row>
    <row r="486" ht="12" customHeight="1">
      <c r="B486" s="2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4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7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</row>
    <row r="487" ht="12" customHeight="1">
      <c r="B487" s="2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4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7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N487" s="3" t="n"/>
    </row>
    <row r="488" ht="12" customHeight="1">
      <c r="B488" s="2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4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7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</row>
    <row r="489" ht="12" customHeight="1">
      <c r="B489" s="2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4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7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</row>
    <row r="490" ht="12" customHeight="1">
      <c r="B490" s="2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4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7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</row>
    <row r="491" ht="12" customHeight="1">
      <c r="B491" s="2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4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7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/>
      <c r="BL491" s="3" t="n"/>
      <c r="BM491" s="3" t="n"/>
      <c r="BN491" s="3" t="n"/>
    </row>
    <row r="492" ht="12" customHeight="1">
      <c r="B492" s="2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4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7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n"/>
      <c r="BI492" s="3" t="n"/>
      <c r="BJ492" s="3" t="n"/>
      <c r="BK492" s="3" t="n"/>
      <c r="BL492" s="3" t="n"/>
      <c r="BM492" s="3" t="n"/>
      <c r="BN492" s="3" t="n"/>
    </row>
    <row r="493" ht="12" customHeight="1">
      <c r="B493" s="2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4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7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N493" s="3" t="n"/>
    </row>
    <row r="494" ht="12" customHeight="1">
      <c r="B494" s="2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4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7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3" t="n"/>
      <c r="BG494" s="3" t="n"/>
      <c r="BH494" s="3" t="n"/>
      <c r="BI494" s="3" t="n"/>
      <c r="BJ494" s="3" t="n"/>
      <c r="BK494" s="3" t="n"/>
      <c r="BL494" s="3" t="n"/>
      <c r="BM494" s="3" t="n"/>
      <c r="BN494" s="3" t="n"/>
    </row>
    <row r="495" ht="12" customHeight="1">
      <c r="B495" s="2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4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7" t="n"/>
      <c r="AW495" s="3" t="n"/>
      <c r="AX495" s="3" t="n"/>
      <c r="AY495" s="3" t="n"/>
      <c r="AZ495" s="3" t="n"/>
      <c r="BA495" s="3" t="n"/>
      <c r="BB495" s="3" t="n"/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/>
      <c r="BL495" s="3" t="n"/>
      <c r="BM495" s="3" t="n"/>
      <c r="BN495" s="3" t="n"/>
    </row>
    <row r="496" ht="12" customHeight="1">
      <c r="B496" s="2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4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7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</row>
    <row r="497" ht="12" customHeight="1">
      <c r="B497" s="2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4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7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N497" s="3" t="n"/>
    </row>
    <row r="498" ht="12" customHeight="1">
      <c r="B498" s="2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4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7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</row>
    <row r="499" ht="12" customHeight="1">
      <c r="B499" s="2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4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7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/>
      <c r="BL499" s="3" t="n"/>
      <c r="BM499" s="3" t="n"/>
      <c r="BN499" s="3" t="n"/>
    </row>
    <row r="500" ht="12" customHeight="1">
      <c r="B500" s="2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4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7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</row>
    <row r="501" ht="12" customHeight="1">
      <c r="B501" s="2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4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7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3" t="n"/>
      <c r="BG501" s="3" t="n"/>
      <c r="BH501" s="3" t="n"/>
      <c r="BI501" s="3" t="n"/>
      <c r="BJ501" s="3" t="n"/>
      <c r="BK501" s="3" t="n"/>
      <c r="BL501" s="3" t="n"/>
      <c r="BM501" s="3" t="n"/>
      <c r="BN501" s="3" t="n"/>
    </row>
    <row r="502" ht="12" customHeight="1">
      <c r="B502" s="2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4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7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</row>
    <row r="503" ht="12" customHeight="1">
      <c r="B503" s="2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4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7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/>
      <c r="BL503" s="3" t="n"/>
      <c r="BM503" s="3" t="n"/>
      <c r="BN503" s="3" t="n"/>
    </row>
    <row r="504" ht="12" customHeight="1">
      <c r="B504" s="2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4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7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</row>
    <row r="505" ht="12" customHeight="1">
      <c r="B505" s="2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4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7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/>
      <c r="BL505" s="3" t="n"/>
      <c r="BM505" s="3" t="n"/>
      <c r="BN505" s="3" t="n"/>
    </row>
    <row r="506" ht="12" customHeight="1">
      <c r="B506" s="2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4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7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</row>
    <row r="507" ht="12" customHeight="1">
      <c r="B507" s="2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4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7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</row>
    <row r="508" ht="12" customHeight="1">
      <c r="B508" s="2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4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7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</row>
    <row r="509" ht="12" customHeight="1">
      <c r="B509" s="2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4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7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3" t="n"/>
      <c r="BG509" s="3" t="n"/>
      <c r="BH509" s="3" t="n"/>
      <c r="BI509" s="3" t="n"/>
      <c r="BJ509" s="3" t="n"/>
      <c r="BK509" s="3" t="n"/>
      <c r="BL509" s="3" t="n"/>
      <c r="BM509" s="3" t="n"/>
      <c r="BN509" s="3" t="n"/>
    </row>
    <row r="510" ht="12" customHeight="1">
      <c r="B510" s="2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4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7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</row>
    <row r="511" ht="12" customHeight="1">
      <c r="B511" s="2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4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7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n"/>
      <c r="BK511" s="3" t="n"/>
      <c r="BL511" s="3" t="n"/>
      <c r="BM511" s="3" t="n"/>
      <c r="BN511" s="3" t="n"/>
    </row>
    <row r="512" ht="12" customHeight="1">
      <c r="B512" s="2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4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7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</row>
    <row r="513" ht="12" customHeight="1">
      <c r="B513" s="2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4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7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</row>
    <row r="514" ht="12" customHeight="1">
      <c r="B514" s="2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4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7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</row>
    <row r="515" ht="12" customHeight="1">
      <c r="B515" s="2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4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7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3" t="n"/>
      <c r="BG515" s="3" t="n"/>
      <c r="BH515" s="3" t="n"/>
      <c r="BI515" s="3" t="n"/>
      <c r="BJ515" s="3" t="n"/>
      <c r="BK515" s="3" t="n"/>
      <c r="BL515" s="3" t="n"/>
      <c r="BM515" s="3" t="n"/>
      <c r="BN515" s="3" t="n"/>
    </row>
    <row r="516" ht="12" customHeight="1">
      <c r="B516" s="2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4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7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</row>
    <row r="517" ht="12" customHeight="1">
      <c r="B517" s="2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4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7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/>
      <c r="BL517" s="3" t="n"/>
      <c r="BM517" s="3" t="n"/>
      <c r="BN517" s="3" t="n"/>
    </row>
    <row r="518" ht="12" customHeight="1">
      <c r="B518" s="2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4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7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</row>
    <row r="519" ht="12" customHeight="1">
      <c r="B519" s="2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4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7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/>
      <c r="BL519" s="3" t="n"/>
      <c r="BM519" s="3" t="n"/>
      <c r="BN519" s="3" t="n"/>
    </row>
    <row r="520" ht="12" customHeight="1">
      <c r="B520" s="2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4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7" t="n"/>
      <c r="AW520" s="3" t="n"/>
      <c r="AX520" s="3" t="n"/>
      <c r="AY520" s="3" t="n"/>
      <c r="AZ520" s="3" t="n"/>
      <c r="BA520" s="3" t="n"/>
      <c r="BB520" s="3" t="n"/>
      <c r="BC520" s="3" t="n"/>
      <c r="BD520" s="3" t="n"/>
      <c r="BE520" s="3" t="n"/>
      <c r="BF520" s="3" t="n"/>
      <c r="BG520" s="3" t="n"/>
      <c r="BH520" s="3" t="n"/>
      <c r="BI520" s="3" t="n"/>
      <c r="BJ520" s="3" t="n"/>
      <c r="BK520" s="3" t="n"/>
      <c r="BL520" s="3" t="n"/>
      <c r="BM520" s="3" t="n"/>
      <c r="BN520" s="3" t="n"/>
    </row>
    <row r="521" ht="12" customHeight="1">
      <c r="B521" s="2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4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7" t="n"/>
      <c r="AW521" s="3" t="n"/>
      <c r="AX521" s="3" t="n"/>
      <c r="AY521" s="3" t="n"/>
      <c r="AZ521" s="3" t="n"/>
      <c r="BA521" s="3" t="n"/>
      <c r="BB521" s="3" t="n"/>
      <c r="BC521" s="3" t="n"/>
      <c r="BD521" s="3" t="n"/>
      <c r="BE521" s="3" t="n"/>
      <c r="BF521" s="3" t="n"/>
      <c r="BG521" s="3" t="n"/>
      <c r="BH521" s="3" t="n"/>
      <c r="BI521" s="3" t="n"/>
      <c r="BJ521" s="3" t="n"/>
      <c r="BK521" s="3" t="n"/>
      <c r="BL521" s="3" t="n"/>
      <c r="BM521" s="3" t="n"/>
      <c r="BN521" s="3" t="n"/>
    </row>
    <row r="522" ht="12" customHeight="1">
      <c r="B522" s="2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4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7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</row>
    <row r="523" ht="12" customHeight="1">
      <c r="B523" s="2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4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7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/>
      <c r="BL523" s="3" t="n"/>
      <c r="BM523" s="3" t="n"/>
      <c r="BN523" s="3" t="n"/>
    </row>
    <row r="524" ht="12" customHeight="1">
      <c r="B524" s="2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4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7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</row>
    <row r="525" ht="12" customHeight="1">
      <c r="B525" s="2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4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7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</row>
    <row r="526" ht="12" customHeight="1">
      <c r="B526" s="2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4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7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</row>
    <row r="527" ht="12" customHeight="1">
      <c r="B527" s="2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4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7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/>
      <c r="BL527" s="3" t="n"/>
      <c r="BM527" s="3" t="n"/>
      <c r="BN527" s="3" t="n"/>
    </row>
    <row r="528" ht="12" customHeight="1">
      <c r="B528" s="2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4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7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</row>
    <row r="529" ht="12" customHeight="1">
      <c r="B529" s="2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4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7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/>
      <c r="BL529" s="3" t="n"/>
      <c r="BM529" s="3" t="n"/>
      <c r="BN529" s="3" t="n"/>
    </row>
    <row r="530" ht="12" customHeight="1">
      <c r="B530" s="2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4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7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</row>
    <row r="531" ht="12" customHeight="1">
      <c r="B531" s="2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4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7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</row>
    <row r="532" ht="12" customHeight="1">
      <c r="B532" s="2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4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7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</row>
    <row r="533" ht="12" customHeight="1">
      <c r="B533" s="2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4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7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3" t="n"/>
      <c r="BG533" s="3" t="n"/>
      <c r="BH533" s="3" t="n"/>
      <c r="BI533" s="3" t="n"/>
      <c r="BJ533" s="3" t="n"/>
      <c r="BK533" s="3" t="n"/>
      <c r="BL533" s="3" t="n"/>
      <c r="BM533" s="3" t="n"/>
      <c r="BN533" s="3" t="n"/>
    </row>
    <row r="534" ht="12" customHeight="1">
      <c r="B534" s="2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4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7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</row>
    <row r="535" ht="12" customHeight="1">
      <c r="B535" s="2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4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7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/>
      <c r="BL535" s="3" t="n"/>
      <c r="BM535" s="3" t="n"/>
      <c r="BN535" s="3" t="n"/>
    </row>
    <row r="536" ht="12" customHeight="1">
      <c r="B536" s="2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4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7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</row>
    <row r="537" ht="12" customHeight="1">
      <c r="B537" s="2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4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7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/>
      <c r="BL537" s="3" t="n"/>
      <c r="BM537" s="3" t="n"/>
      <c r="BN537" s="3" t="n"/>
    </row>
    <row r="538" ht="12" customHeight="1">
      <c r="B538" s="2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4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7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n"/>
      <c r="BG538" s="3" t="n"/>
      <c r="BH538" s="3" t="n"/>
      <c r="BI538" s="3" t="n"/>
      <c r="BJ538" s="3" t="n"/>
      <c r="BK538" s="3" t="n"/>
      <c r="BL538" s="3" t="n"/>
      <c r="BM538" s="3" t="n"/>
      <c r="BN538" s="3" t="n"/>
    </row>
    <row r="539" ht="12" customHeight="1">
      <c r="B539" s="2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4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7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3" t="n"/>
      <c r="BG539" s="3" t="n"/>
      <c r="BH539" s="3" t="n"/>
      <c r="BI539" s="3" t="n"/>
      <c r="BJ539" s="3" t="n"/>
      <c r="BK539" s="3" t="n"/>
      <c r="BL539" s="3" t="n"/>
      <c r="BM539" s="3" t="n"/>
      <c r="BN539" s="3" t="n"/>
    </row>
    <row r="540" ht="12" customHeight="1">
      <c r="B540" s="2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4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7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</row>
    <row r="541" ht="12" customHeight="1">
      <c r="B541" s="2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4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7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3" t="n"/>
      <c r="BG541" s="3" t="n"/>
      <c r="BH541" s="3" t="n"/>
      <c r="BI541" s="3" t="n"/>
      <c r="BJ541" s="3" t="n"/>
      <c r="BK541" s="3" t="n"/>
      <c r="BL541" s="3" t="n"/>
      <c r="BM541" s="3" t="n"/>
      <c r="BN541" s="3" t="n"/>
    </row>
    <row r="542" ht="12" customHeight="1">
      <c r="B542" s="2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4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7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</row>
    <row r="543" ht="12" customHeight="1">
      <c r="B543" s="2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4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7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3" t="n"/>
      <c r="BG543" s="3" t="n"/>
      <c r="BH543" s="3" t="n"/>
      <c r="BI543" s="3" t="n"/>
      <c r="BJ543" s="3" t="n"/>
      <c r="BK543" s="3" t="n"/>
      <c r="BL543" s="3" t="n"/>
      <c r="BM543" s="3" t="n"/>
      <c r="BN543" s="3" t="n"/>
    </row>
    <row r="544" ht="12" customHeight="1">
      <c r="B544" s="2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4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7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</row>
    <row r="545" ht="12" customHeight="1">
      <c r="B545" s="2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4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7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n"/>
      <c r="BI545" s="3" t="n"/>
      <c r="BJ545" s="3" t="n"/>
      <c r="BK545" s="3" t="n"/>
      <c r="BL545" s="3" t="n"/>
      <c r="BM545" s="3" t="n"/>
      <c r="BN545" s="3" t="n"/>
    </row>
    <row r="546" ht="12" customHeight="1">
      <c r="B546" s="2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4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7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3" t="n"/>
      <c r="BG546" s="3" t="n"/>
      <c r="BH546" s="3" t="n"/>
      <c r="BI546" s="3" t="n"/>
      <c r="BJ546" s="3" t="n"/>
      <c r="BK546" s="3" t="n"/>
      <c r="BL546" s="3" t="n"/>
      <c r="BM546" s="3" t="n"/>
      <c r="BN546" s="3" t="n"/>
    </row>
    <row r="547" ht="12" customHeight="1">
      <c r="B547" s="2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4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7" t="n"/>
      <c r="AW547" s="3" t="n"/>
      <c r="AX547" s="3" t="n"/>
      <c r="AY547" s="3" t="n"/>
      <c r="AZ547" s="3" t="n"/>
      <c r="BA547" s="3" t="n"/>
      <c r="BB547" s="3" t="n"/>
      <c r="BC547" s="3" t="n"/>
      <c r="BD547" s="3" t="n"/>
      <c r="BE547" s="3" t="n"/>
      <c r="BF547" s="3" t="n"/>
      <c r="BG547" s="3" t="n"/>
      <c r="BH547" s="3" t="n"/>
      <c r="BI547" s="3" t="n"/>
      <c r="BJ547" s="3" t="n"/>
      <c r="BK547" s="3" t="n"/>
      <c r="BL547" s="3" t="n"/>
      <c r="BM547" s="3" t="n"/>
      <c r="BN547" s="3" t="n"/>
    </row>
    <row r="548" ht="12" customHeight="1">
      <c r="B548" s="2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4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7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/>
      <c r="BL548" s="3" t="n"/>
      <c r="BM548" s="3" t="n"/>
      <c r="BN548" s="3" t="n"/>
    </row>
    <row r="549" ht="12" customHeight="1">
      <c r="B549" s="2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4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7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3" t="n"/>
      <c r="BG549" s="3" t="n"/>
      <c r="BH549" s="3" t="n"/>
      <c r="BI549" s="3" t="n"/>
      <c r="BJ549" s="3" t="n"/>
      <c r="BK549" s="3" t="n"/>
      <c r="BL549" s="3" t="n"/>
      <c r="BM549" s="3" t="n"/>
      <c r="BN549" s="3" t="n"/>
    </row>
    <row r="550" ht="12" customHeight="1">
      <c r="B550" s="2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4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7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</row>
    <row r="551" ht="12" customHeight="1">
      <c r="B551" s="2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4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7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3" t="n"/>
      <c r="BG551" s="3" t="n"/>
      <c r="BH551" s="3" t="n"/>
      <c r="BI551" s="3" t="n"/>
      <c r="BJ551" s="3" t="n"/>
      <c r="BK551" s="3" t="n"/>
      <c r="BL551" s="3" t="n"/>
      <c r="BM551" s="3" t="n"/>
      <c r="BN551" s="3" t="n"/>
    </row>
    <row r="552" ht="12" customHeight="1">
      <c r="B552" s="2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4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7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</row>
    <row r="553" ht="12" customHeight="1">
      <c r="B553" s="2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4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7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3" t="n"/>
      <c r="BG553" s="3" t="n"/>
      <c r="BH553" s="3" t="n"/>
      <c r="BI553" s="3" t="n"/>
      <c r="BJ553" s="3" t="n"/>
      <c r="BK553" s="3" t="n"/>
      <c r="BL553" s="3" t="n"/>
      <c r="BM553" s="3" t="n"/>
      <c r="BN553" s="3" t="n"/>
    </row>
    <row r="554" ht="12" customHeight="1">
      <c r="B554" s="2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4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7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</row>
    <row r="555" ht="12" customHeight="1">
      <c r="B555" s="2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4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7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3" t="n"/>
      <c r="BG555" s="3" t="n"/>
      <c r="BH555" s="3" t="n"/>
      <c r="BI555" s="3" t="n"/>
      <c r="BJ555" s="3" t="n"/>
      <c r="BK555" s="3" t="n"/>
      <c r="BL555" s="3" t="n"/>
      <c r="BM555" s="3" t="n"/>
      <c r="BN555" s="3" t="n"/>
    </row>
    <row r="556" ht="12" customHeight="1">
      <c r="B556" s="2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4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7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</row>
    <row r="557" ht="12" customHeight="1">
      <c r="B557" s="2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4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7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n"/>
      <c r="BI557" s="3" t="n"/>
      <c r="BJ557" s="3" t="n"/>
      <c r="BK557" s="3" t="n"/>
      <c r="BL557" s="3" t="n"/>
      <c r="BM557" s="3" t="n"/>
      <c r="BN557" s="3" t="n"/>
    </row>
    <row r="558" ht="12" customHeight="1">
      <c r="B558" s="2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4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7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</row>
    <row r="559" ht="12" customHeight="1">
      <c r="B559" s="2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4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7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3" t="n"/>
      <c r="BG559" s="3" t="n"/>
      <c r="BH559" s="3" t="n"/>
      <c r="BI559" s="3" t="n"/>
      <c r="BJ559" s="3" t="n"/>
      <c r="BK559" s="3" t="n"/>
      <c r="BL559" s="3" t="n"/>
      <c r="BM559" s="3" t="n"/>
      <c r="BN559" s="3" t="n"/>
    </row>
    <row r="560" ht="12" customHeight="1">
      <c r="B560" s="2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4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7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</row>
    <row r="561" ht="12" customHeight="1">
      <c r="B561" s="2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4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7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3" t="n"/>
      <c r="BG561" s="3" t="n"/>
      <c r="BH561" s="3" t="n"/>
      <c r="BI561" s="3" t="n"/>
      <c r="BJ561" s="3" t="n"/>
      <c r="BK561" s="3" t="n"/>
      <c r="BL561" s="3" t="n"/>
      <c r="BM561" s="3" t="n"/>
      <c r="BN561" s="3" t="n"/>
    </row>
    <row r="562" ht="12" customHeight="1">
      <c r="B562" s="2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4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7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</row>
    <row r="563" ht="12" customHeight="1">
      <c r="B563" s="2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4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7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n"/>
      <c r="BI563" s="3" t="n"/>
      <c r="BJ563" s="3" t="n"/>
      <c r="BK563" s="3" t="n"/>
      <c r="BL563" s="3" t="n"/>
      <c r="BM563" s="3" t="n"/>
      <c r="BN563" s="3" t="n"/>
    </row>
    <row r="564" ht="12" customHeight="1">
      <c r="B564" s="2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4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7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</row>
    <row r="565" ht="12" customHeight="1">
      <c r="B565" s="2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4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7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3" t="n"/>
      <c r="BG565" s="3" t="n"/>
      <c r="BH565" s="3" t="n"/>
      <c r="BI565" s="3" t="n"/>
      <c r="BJ565" s="3" t="n"/>
      <c r="BK565" s="3" t="n"/>
      <c r="BL565" s="3" t="n"/>
      <c r="BM565" s="3" t="n"/>
      <c r="BN565" s="3" t="n"/>
    </row>
    <row r="566" ht="12" customHeight="1">
      <c r="B566" s="2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4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7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</row>
    <row r="567" ht="12" customHeight="1">
      <c r="B567" s="2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4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7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3" t="n"/>
      <c r="BG567" s="3" t="n"/>
      <c r="BH567" s="3" t="n"/>
      <c r="BI567" s="3" t="n"/>
      <c r="BJ567" s="3" t="n"/>
      <c r="BK567" s="3" t="n"/>
      <c r="BL567" s="3" t="n"/>
      <c r="BM567" s="3" t="n"/>
      <c r="BN567" s="3" t="n"/>
    </row>
    <row r="568" ht="12" customHeight="1">
      <c r="B568" s="2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4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7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</row>
    <row r="569" ht="12" customHeight="1">
      <c r="B569" s="2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4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7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N569" s="3" t="n"/>
    </row>
    <row r="570" ht="12" customHeight="1">
      <c r="B570" s="2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4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7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</row>
    <row r="571" ht="12" customHeight="1">
      <c r="B571" s="2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4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7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</row>
    <row r="572" ht="12" customHeight="1">
      <c r="B572" s="2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4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7" t="n"/>
      <c r="AW572" s="3" t="n"/>
      <c r="AX572" s="3" t="n"/>
      <c r="AY572" s="3" t="n"/>
      <c r="AZ572" s="3" t="n"/>
      <c r="BA572" s="3" t="n"/>
      <c r="BB572" s="3" t="n"/>
      <c r="BC572" s="3" t="n"/>
      <c r="BD572" s="3" t="n"/>
      <c r="BE572" s="3" t="n"/>
      <c r="BF572" s="3" t="n"/>
      <c r="BG572" s="3" t="n"/>
      <c r="BH572" s="3" t="n"/>
      <c r="BI572" s="3" t="n"/>
      <c r="BJ572" s="3" t="n"/>
      <c r="BK572" s="3" t="n"/>
      <c r="BL572" s="3" t="n"/>
      <c r="BM572" s="3" t="n"/>
      <c r="BN572" s="3" t="n"/>
    </row>
    <row r="573" ht="12" customHeight="1">
      <c r="B573" s="2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4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7" t="n"/>
      <c r="AW573" s="3" t="n"/>
      <c r="AX573" s="3" t="n"/>
      <c r="AY573" s="3" t="n"/>
      <c r="AZ573" s="3" t="n"/>
      <c r="BA573" s="3" t="n"/>
      <c r="BB573" s="3" t="n"/>
      <c r="BC573" s="3" t="n"/>
      <c r="BD573" s="3" t="n"/>
      <c r="BE573" s="3" t="n"/>
      <c r="BF573" s="3" t="n"/>
      <c r="BG573" s="3" t="n"/>
      <c r="BH573" s="3" t="n"/>
      <c r="BI573" s="3" t="n"/>
      <c r="BJ573" s="3" t="n"/>
      <c r="BK573" s="3" t="n"/>
      <c r="BL573" s="3" t="n"/>
      <c r="BM573" s="3" t="n"/>
      <c r="BN573" s="3" t="n"/>
    </row>
    <row r="574" ht="12" customHeight="1">
      <c r="B574" s="2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4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7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N574" s="3" t="n"/>
    </row>
    <row r="575" ht="12" customHeight="1">
      <c r="B575" s="2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4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7" t="n"/>
      <c r="AW575" s="3" t="n"/>
      <c r="AX575" s="3" t="n"/>
      <c r="AY575" s="3" t="n"/>
      <c r="AZ575" s="3" t="n"/>
      <c r="BA575" s="3" t="n"/>
      <c r="BB575" s="3" t="n"/>
      <c r="BC575" s="3" t="n"/>
      <c r="BD575" s="3" t="n"/>
      <c r="BE575" s="3" t="n"/>
      <c r="BF575" s="3" t="n"/>
      <c r="BG575" s="3" t="n"/>
      <c r="BH575" s="3" t="n"/>
      <c r="BI575" s="3" t="n"/>
      <c r="BJ575" s="3" t="n"/>
      <c r="BK575" s="3" t="n"/>
      <c r="BL575" s="3" t="n"/>
      <c r="BM575" s="3" t="n"/>
      <c r="BN575" s="3" t="n"/>
    </row>
    <row r="576" ht="12" customHeight="1">
      <c r="B576" s="2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4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7" t="n"/>
      <c r="AW576" s="3" t="n"/>
      <c r="AX576" s="3" t="n"/>
      <c r="AY576" s="3" t="n"/>
      <c r="AZ576" s="3" t="n"/>
      <c r="BA576" s="3" t="n"/>
      <c r="BB576" s="3" t="n"/>
      <c r="BC576" s="3" t="n"/>
      <c r="BD576" s="3" t="n"/>
      <c r="BE576" s="3" t="n"/>
      <c r="BF576" s="3" t="n"/>
      <c r="BG576" s="3" t="n"/>
      <c r="BH576" s="3" t="n"/>
      <c r="BI576" s="3" t="n"/>
      <c r="BJ576" s="3" t="n"/>
      <c r="BK576" s="3" t="n"/>
      <c r="BL576" s="3" t="n"/>
      <c r="BM576" s="3" t="n"/>
      <c r="BN576" s="3" t="n"/>
    </row>
    <row r="577" ht="12" customHeight="1">
      <c r="B577" s="2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4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7" t="n"/>
      <c r="AW577" s="3" t="n"/>
      <c r="AX577" s="3" t="n"/>
      <c r="AY577" s="3" t="n"/>
      <c r="AZ577" s="3" t="n"/>
      <c r="BA577" s="3" t="n"/>
      <c r="BB577" s="3" t="n"/>
      <c r="BC577" s="3" t="n"/>
      <c r="BD577" s="3" t="n"/>
      <c r="BE577" s="3" t="n"/>
      <c r="BF577" s="3" t="n"/>
      <c r="BG577" s="3" t="n"/>
      <c r="BH577" s="3" t="n"/>
      <c r="BI577" s="3" t="n"/>
      <c r="BJ577" s="3" t="n"/>
      <c r="BK577" s="3" t="n"/>
      <c r="BL577" s="3" t="n"/>
      <c r="BM577" s="3" t="n"/>
      <c r="BN577" s="3" t="n"/>
    </row>
    <row r="578" ht="12" customHeight="1">
      <c r="B578" s="2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4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7" t="n"/>
      <c r="AW578" s="3" t="n"/>
      <c r="AX578" s="3" t="n"/>
      <c r="AY578" s="3" t="n"/>
      <c r="AZ578" s="3" t="n"/>
      <c r="BA578" s="3" t="n"/>
      <c r="BB578" s="3" t="n"/>
      <c r="BC578" s="3" t="n"/>
      <c r="BD578" s="3" t="n"/>
      <c r="BE578" s="3" t="n"/>
      <c r="BF578" s="3" t="n"/>
      <c r="BG578" s="3" t="n"/>
      <c r="BH578" s="3" t="n"/>
      <c r="BI578" s="3" t="n"/>
      <c r="BJ578" s="3" t="n"/>
      <c r="BK578" s="3" t="n"/>
      <c r="BL578" s="3" t="n"/>
      <c r="BM578" s="3" t="n"/>
      <c r="BN578" s="3" t="n"/>
    </row>
    <row r="579" ht="12" customHeight="1">
      <c r="B579" s="2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4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7" t="n"/>
      <c r="AW579" s="3" t="n"/>
      <c r="AX579" s="3" t="n"/>
      <c r="AY579" s="3" t="n"/>
      <c r="AZ579" s="3" t="n"/>
      <c r="BA579" s="3" t="n"/>
      <c r="BB579" s="3" t="n"/>
      <c r="BC579" s="3" t="n"/>
      <c r="BD579" s="3" t="n"/>
      <c r="BE579" s="3" t="n"/>
      <c r="BF579" s="3" t="n"/>
      <c r="BG579" s="3" t="n"/>
      <c r="BH579" s="3" t="n"/>
      <c r="BI579" s="3" t="n"/>
      <c r="BJ579" s="3" t="n"/>
      <c r="BK579" s="3" t="n"/>
      <c r="BL579" s="3" t="n"/>
      <c r="BM579" s="3" t="n"/>
      <c r="BN579" s="3" t="n"/>
    </row>
    <row r="580" ht="12" customHeight="1">
      <c r="B580" s="2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4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7" t="n"/>
      <c r="AW580" s="3" t="n"/>
      <c r="AX580" s="3" t="n"/>
      <c r="AY580" s="3" t="n"/>
      <c r="AZ580" s="3" t="n"/>
      <c r="BA580" s="3" t="n"/>
      <c r="BB580" s="3" t="n"/>
      <c r="BC580" s="3" t="n"/>
      <c r="BD580" s="3" t="n"/>
      <c r="BE580" s="3" t="n"/>
      <c r="BF580" s="3" t="n"/>
      <c r="BG580" s="3" t="n"/>
      <c r="BH580" s="3" t="n"/>
      <c r="BI580" s="3" t="n"/>
      <c r="BJ580" s="3" t="n"/>
      <c r="BK580" s="3" t="n"/>
      <c r="BL580" s="3" t="n"/>
      <c r="BM580" s="3" t="n"/>
      <c r="BN580" s="3" t="n"/>
    </row>
    <row r="581" ht="12" customHeight="1">
      <c r="B581" s="2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4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7" t="n"/>
      <c r="AW581" s="3" t="n"/>
      <c r="AX581" s="3" t="n"/>
      <c r="AY581" s="3" t="n"/>
      <c r="AZ581" s="3" t="n"/>
      <c r="BA581" s="3" t="n"/>
      <c r="BB581" s="3" t="n"/>
      <c r="BC581" s="3" t="n"/>
      <c r="BD581" s="3" t="n"/>
      <c r="BE581" s="3" t="n"/>
      <c r="BF581" s="3" t="n"/>
      <c r="BG581" s="3" t="n"/>
      <c r="BH581" s="3" t="n"/>
      <c r="BI581" s="3" t="n"/>
      <c r="BJ581" s="3" t="n"/>
      <c r="BK581" s="3" t="n"/>
      <c r="BL581" s="3" t="n"/>
      <c r="BM581" s="3" t="n"/>
      <c r="BN581" s="3" t="n"/>
    </row>
    <row r="582" ht="12" customHeight="1">
      <c r="B582" s="2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4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7" t="n"/>
      <c r="AW582" s="3" t="n"/>
      <c r="AX582" s="3" t="n"/>
      <c r="AY582" s="3" t="n"/>
      <c r="AZ582" s="3" t="n"/>
      <c r="BA582" s="3" t="n"/>
      <c r="BB582" s="3" t="n"/>
      <c r="BC582" s="3" t="n"/>
      <c r="BD582" s="3" t="n"/>
      <c r="BE582" s="3" t="n"/>
      <c r="BF582" s="3" t="n"/>
      <c r="BG582" s="3" t="n"/>
      <c r="BH582" s="3" t="n"/>
      <c r="BI582" s="3" t="n"/>
      <c r="BJ582" s="3" t="n"/>
      <c r="BK582" s="3" t="n"/>
      <c r="BL582" s="3" t="n"/>
      <c r="BM582" s="3" t="n"/>
      <c r="BN582" s="3" t="n"/>
    </row>
    <row r="583" ht="12" customHeight="1">
      <c r="B583" s="2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4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7" t="n"/>
      <c r="AW583" s="3" t="n"/>
      <c r="AX583" s="3" t="n"/>
      <c r="AY583" s="3" t="n"/>
      <c r="AZ583" s="3" t="n"/>
      <c r="BA583" s="3" t="n"/>
      <c r="BB583" s="3" t="n"/>
      <c r="BC583" s="3" t="n"/>
      <c r="BD583" s="3" t="n"/>
      <c r="BE583" s="3" t="n"/>
      <c r="BF583" s="3" t="n"/>
      <c r="BG583" s="3" t="n"/>
      <c r="BH583" s="3" t="n"/>
      <c r="BI583" s="3" t="n"/>
      <c r="BJ583" s="3" t="n"/>
      <c r="BK583" s="3" t="n"/>
      <c r="BL583" s="3" t="n"/>
      <c r="BM583" s="3" t="n"/>
      <c r="BN583" s="3" t="n"/>
    </row>
    <row r="584" ht="12" customHeight="1">
      <c r="B584" s="2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4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7" t="n"/>
      <c r="AW584" s="3" t="n"/>
      <c r="AX584" s="3" t="n"/>
      <c r="AY584" s="3" t="n"/>
      <c r="AZ584" s="3" t="n"/>
      <c r="BA584" s="3" t="n"/>
      <c r="BB584" s="3" t="n"/>
      <c r="BC584" s="3" t="n"/>
      <c r="BD584" s="3" t="n"/>
      <c r="BE584" s="3" t="n"/>
      <c r="BF584" s="3" t="n"/>
      <c r="BG584" s="3" t="n"/>
      <c r="BH584" s="3" t="n"/>
      <c r="BI584" s="3" t="n"/>
      <c r="BJ584" s="3" t="n"/>
      <c r="BK584" s="3" t="n"/>
      <c r="BL584" s="3" t="n"/>
      <c r="BM584" s="3" t="n"/>
      <c r="BN584" s="3" t="n"/>
    </row>
    <row r="585" ht="12" customHeight="1">
      <c r="B585" s="2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4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7" t="n"/>
      <c r="AW585" s="3" t="n"/>
      <c r="AX585" s="3" t="n"/>
      <c r="AY585" s="3" t="n"/>
      <c r="AZ585" s="3" t="n"/>
      <c r="BA585" s="3" t="n"/>
      <c r="BB585" s="3" t="n"/>
      <c r="BC585" s="3" t="n"/>
      <c r="BD585" s="3" t="n"/>
      <c r="BE585" s="3" t="n"/>
      <c r="BF585" s="3" t="n"/>
      <c r="BG585" s="3" t="n"/>
      <c r="BH585" s="3" t="n"/>
      <c r="BI585" s="3" t="n"/>
      <c r="BJ585" s="3" t="n"/>
      <c r="BK585" s="3" t="n"/>
      <c r="BL585" s="3" t="n"/>
      <c r="BM585" s="3" t="n"/>
      <c r="BN585" s="3" t="n"/>
    </row>
    <row r="586" ht="12" customHeight="1">
      <c r="B586" s="2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4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7" t="n"/>
      <c r="AW586" s="3" t="n"/>
      <c r="AX586" s="3" t="n"/>
      <c r="AY586" s="3" t="n"/>
      <c r="AZ586" s="3" t="n"/>
      <c r="BA586" s="3" t="n"/>
      <c r="BB586" s="3" t="n"/>
      <c r="BC586" s="3" t="n"/>
      <c r="BD586" s="3" t="n"/>
      <c r="BE586" s="3" t="n"/>
      <c r="BF586" s="3" t="n"/>
      <c r="BG586" s="3" t="n"/>
      <c r="BH586" s="3" t="n"/>
      <c r="BI586" s="3" t="n"/>
      <c r="BJ586" s="3" t="n"/>
      <c r="BK586" s="3" t="n"/>
      <c r="BL586" s="3" t="n"/>
      <c r="BM586" s="3" t="n"/>
      <c r="BN586" s="3" t="n"/>
    </row>
    <row r="587" ht="12" customHeight="1">
      <c r="B587" s="2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4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7" t="n"/>
      <c r="AW587" s="3" t="n"/>
      <c r="AX587" s="3" t="n"/>
      <c r="AY587" s="3" t="n"/>
      <c r="AZ587" s="3" t="n"/>
      <c r="BA587" s="3" t="n"/>
      <c r="BB587" s="3" t="n"/>
      <c r="BC587" s="3" t="n"/>
      <c r="BD587" s="3" t="n"/>
      <c r="BE587" s="3" t="n"/>
      <c r="BF587" s="3" t="n"/>
      <c r="BG587" s="3" t="n"/>
      <c r="BH587" s="3" t="n"/>
      <c r="BI587" s="3" t="n"/>
      <c r="BJ587" s="3" t="n"/>
      <c r="BK587" s="3" t="n"/>
      <c r="BL587" s="3" t="n"/>
      <c r="BM587" s="3" t="n"/>
      <c r="BN587" s="3" t="n"/>
    </row>
    <row r="588" ht="12" customHeight="1">
      <c r="B588" s="2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4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7" t="n"/>
      <c r="AW588" s="3" t="n"/>
      <c r="AX588" s="3" t="n"/>
      <c r="AY588" s="3" t="n"/>
      <c r="AZ588" s="3" t="n"/>
      <c r="BA588" s="3" t="n"/>
      <c r="BB588" s="3" t="n"/>
      <c r="BC588" s="3" t="n"/>
      <c r="BD588" s="3" t="n"/>
      <c r="BE588" s="3" t="n"/>
      <c r="BF588" s="3" t="n"/>
      <c r="BG588" s="3" t="n"/>
      <c r="BH588" s="3" t="n"/>
      <c r="BI588" s="3" t="n"/>
      <c r="BJ588" s="3" t="n"/>
      <c r="BK588" s="3" t="n"/>
      <c r="BL588" s="3" t="n"/>
      <c r="BM588" s="3" t="n"/>
      <c r="BN588" s="3" t="n"/>
    </row>
    <row r="589" ht="12" customHeight="1">
      <c r="B589" s="2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4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7" t="n"/>
      <c r="AW589" s="3" t="n"/>
      <c r="AX589" s="3" t="n"/>
      <c r="AY589" s="3" t="n"/>
      <c r="AZ589" s="3" t="n"/>
      <c r="BA589" s="3" t="n"/>
      <c r="BB589" s="3" t="n"/>
      <c r="BC589" s="3" t="n"/>
      <c r="BD589" s="3" t="n"/>
      <c r="BE589" s="3" t="n"/>
      <c r="BF589" s="3" t="n"/>
      <c r="BG589" s="3" t="n"/>
      <c r="BH589" s="3" t="n"/>
      <c r="BI589" s="3" t="n"/>
      <c r="BJ589" s="3" t="n"/>
      <c r="BK589" s="3" t="n"/>
      <c r="BL589" s="3" t="n"/>
      <c r="BM589" s="3" t="n"/>
      <c r="BN589" s="3" t="n"/>
    </row>
    <row r="590" ht="12" customHeight="1">
      <c r="B590" s="2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4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7" t="n"/>
      <c r="AW590" s="3" t="n"/>
      <c r="AX590" s="3" t="n"/>
      <c r="AY590" s="3" t="n"/>
      <c r="AZ590" s="3" t="n"/>
      <c r="BA590" s="3" t="n"/>
      <c r="BB590" s="3" t="n"/>
      <c r="BC590" s="3" t="n"/>
      <c r="BD590" s="3" t="n"/>
      <c r="BE590" s="3" t="n"/>
      <c r="BF590" s="3" t="n"/>
      <c r="BG590" s="3" t="n"/>
      <c r="BH590" s="3" t="n"/>
      <c r="BI590" s="3" t="n"/>
      <c r="BJ590" s="3" t="n"/>
      <c r="BK590" s="3" t="n"/>
      <c r="BL590" s="3" t="n"/>
      <c r="BM590" s="3" t="n"/>
      <c r="BN590" s="3" t="n"/>
    </row>
    <row r="591" ht="12" customHeight="1">
      <c r="B591" s="2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4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7" t="n"/>
      <c r="AW591" s="3" t="n"/>
      <c r="AX591" s="3" t="n"/>
      <c r="AY591" s="3" t="n"/>
      <c r="AZ591" s="3" t="n"/>
      <c r="BA591" s="3" t="n"/>
      <c r="BB591" s="3" t="n"/>
      <c r="BC591" s="3" t="n"/>
      <c r="BD591" s="3" t="n"/>
      <c r="BE591" s="3" t="n"/>
      <c r="BF591" s="3" t="n"/>
      <c r="BG591" s="3" t="n"/>
      <c r="BH591" s="3" t="n"/>
      <c r="BI591" s="3" t="n"/>
      <c r="BJ591" s="3" t="n"/>
      <c r="BK591" s="3" t="n"/>
      <c r="BL591" s="3" t="n"/>
      <c r="BM591" s="3" t="n"/>
      <c r="BN591" s="3" t="n"/>
    </row>
    <row r="592" ht="12" customHeight="1">
      <c r="B592" s="2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4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7" t="n"/>
      <c r="AW592" s="3" t="n"/>
      <c r="AX592" s="3" t="n"/>
      <c r="AY592" s="3" t="n"/>
      <c r="AZ592" s="3" t="n"/>
      <c r="BA592" s="3" t="n"/>
      <c r="BB592" s="3" t="n"/>
      <c r="BC592" s="3" t="n"/>
      <c r="BD592" s="3" t="n"/>
      <c r="BE592" s="3" t="n"/>
      <c r="BF592" s="3" t="n"/>
      <c r="BG592" s="3" t="n"/>
      <c r="BH592" s="3" t="n"/>
      <c r="BI592" s="3" t="n"/>
      <c r="BJ592" s="3" t="n"/>
      <c r="BK592" s="3" t="n"/>
      <c r="BL592" s="3" t="n"/>
      <c r="BM592" s="3" t="n"/>
      <c r="BN592" s="3" t="n"/>
    </row>
    <row r="593" ht="12" customHeight="1">
      <c r="B593" s="2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4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7" t="n"/>
      <c r="AW593" s="3" t="n"/>
      <c r="AX593" s="3" t="n"/>
      <c r="AY593" s="3" t="n"/>
      <c r="AZ593" s="3" t="n"/>
      <c r="BA593" s="3" t="n"/>
      <c r="BB593" s="3" t="n"/>
      <c r="BC593" s="3" t="n"/>
      <c r="BD593" s="3" t="n"/>
      <c r="BE593" s="3" t="n"/>
      <c r="BF593" s="3" t="n"/>
      <c r="BG593" s="3" t="n"/>
      <c r="BH593" s="3" t="n"/>
      <c r="BI593" s="3" t="n"/>
      <c r="BJ593" s="3" t="n"/>
      <c r="BK593" s="3" t="n"/>
      <c r="BL593" s="3" t="n"/>
      <c r="BM593" s="3" t="n"/>
      <c r="BN593" s="3" t="n"/>
    </row>
    <row r="594" ht="12" customHeight="1">
      <c r="B594" s="2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4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7" t="n"/>
      <c r="AW594" s="3" t="n"/>
      <c r="AX594" s="3" t="n"/>
      <c r="AY594" s="3" t="n"/>
      <c r="AZ594" s="3" t="n"/>
      <c r="BA594" s="3" t="n"/>
      <c r="BB594" s="3" t="n"/>
      <c r="BC594" s="3" t="n"/>
      <c r="BD594" s="3" t="n"/>
      <c r="BE594" s="3" t="n"/>
      <c r="BF594" s="3" t="n"/>
      <c r="BG594" s="3" t="n"/>
      <c r="BH594" s="3" t="n"/>
      <c r="BI594" s="3" t="n"/>
      <c r="BJ594" s="3" t="n"/>
      <c r="BK594" s="3" t="n"/>
      <c r="BL594" s="3" t="n"/>
      <c r="BM594" s="3" t="n"/>
      <c r="BN594" s="3" t="n"/>
    </row>
    <row r="595" ht="12" customHeight="1">
      <c r="B595" s="2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4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7" t="n"/>
      <c r="AW595" s="3" t="n"/>
      <c r="AX595" s="3" t="n"/>
      <c r="AY595" s="3" t="n"/>
      <c r="AZ595" s="3" t="n"/>
      <c r="BA595" s="3" t="n"/>
      <c r="BB595" s="3" t="n"/>
      <c r="BC595" s="3" t="n"/>
      <c r="BD595" s="3" t="n"/>
      <c r="BE595" s="3" t="n"/>
      <c r="BF595" s="3" t="n"/>
      <c r="BG595" s="3" t="n"/>
      <c r="BH595" s="3" t="n"/>
      <c r="BI595" s="3" t="n"/>
      <c r="BJ595" s="3" t="n"/>
      <c r="BK595" s="3" t="n"/>
      <c r="BL595" s="3" t="n"/>
      <c r="BM595" s="3" t="n"/>
      <c r="BN595" s="3" t="n"/>
    </row>
    <row r="596" ht="12" customHeight="1">
      <c r="B596" s="2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4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7" t="n"/>
      <c r="AW596" s="3" t="n"/>
      <c r="AX596" s="3" t="n"/>
      <c r="AY596" s="3" t="n"/>
      <c r="AZ596" s="3" t="n"/>
      <c r="BA596" s="3" t="n"/>
      <c r="BB596" s="3" t="n"/>
      <c r="BC596" s="3" t="n"/>
      <c r="BD596" s="3" t="n"/>
      <c r="BE596" s="3" t="n"/>
      <c r="BF596" s="3" t="n"/>
      <c r="BG596" s="3" t="n"/>
      <c r="BH596" s="3" t="n"/>
      <c r="BI596" s="3" t="n"/>
      <c r="BJ596" s="3" t="n"/>
      <c r="BK596" s="3" t="n"/>
      <c r="BL596" s="3" t="n"/>
      <c r="BM596" s="3" t="n"/>
      <c r="BN596" s="3" t="n"/>
    </row>
    <row r="597" ht="12" customHeight="1">
      <c r="B597" s="2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4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7" t="n"/>
      <c r="AW597" s="3" t="n"/>
      <c r="AX597" s="3" t="n"/>
      <c r="AY597" s="3" t="n"/>
      <c r="AZ597" s="3" t="n"/>
      <c r="BA597" s="3" t="n"/>
      <c r="BB597" s="3" t="n"/>
      <c r="BC597" s="3" t="n"/>
      <c r="BD597" s="3" t="n"/>
      <c r="BE597" s="3" t="n"/>
      <c r="BF597" s="3" t="n"/>
      <c r="BG597" s="3" t="n"/>
      <c r="BH597" s="3" t="n"/>
      <c r="BI597" s="3" t="n"/>
      <c r="BJ597" s="3" t="n"/>
      <c r="BK597" s="3" t="n"/>
      <c r="BL597" s="3" t="n"/>
      <c r="BM597" s="3" t="n"/>
      <c r="BN597" s="3" t="n"/>
    </row>
    <row r="598" ht="12" customHeight="1">
      <c r="B598" s="2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4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7" t="n"/>
      <c r="AW598" s="3" t="n"/>
      <c r="AX598" s="3" t="n"/>
      <c r="AY598" s="3" t="n"/>
      <c r="AZ598" s="3" t="n"/>
      <c r="BA598" s="3" t="n"/>
      <c r="BB598" s="3" t="n"/>
      <c r="BC598" s="3" t="n"/>
      <c r="BD598" s="3" t="n"/>
      <c r="BE598" s="3" t="n"/>
      <c r="BF598" s="3" t="n"/>
      <c r="BG598" s="3" t="n"/>
      <c r="BH598" s="3" t="n"/>
      <c r="BI598" s="3" t="n"/>
      <c r="BJ598" s="3" t="n"/>
      <c r="BK598" s="3" t="n"/>
      <c r="BL598" s="3" t="n"/>
      <c r="BM598" s="3" t="n"/>
      <c r="BN598" s="3" t="n"/>
    </row>
    <row r="599" ht="12" customHeight="1">
      <c r="B599" s="2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4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7" t="n"/>
      <c r="AW599" s="3" t="n"/>
      <c r="AX599" s="3" t="n"/>
      <c r="AY599" s="3" t="n"/>
      <c r="AZ599" s="3" t="n"/>
      <c r="BA599" s="3" t="n"/>
      <c r="BB599" s="3" t="n"/>
      <c r="BC599" s="3" t="n"/>
      <c r="BD599" s="3" t="n"/>
      <c r="BE599" s="3" t="n"/>
      <c r="BF599" s="3" t="n"/>
      <c r="BG599" s="3" t="n"/>
      <c r="BH599" s="3" t="n"/>
      <c r="BI599" s="3" t="n"/>
      <c r="BJ599" s="3" t="n"/>
      <c r="BK599" s="3" t="n"/>
      <c r="BL599" s="3" t="n"/>
      <c r="BM599" s="3" t="n"/>
      <c r="BN599" s="3" t="n"/>
    </row>
    <row r="600" ht="12" customHeight="1">
      <c r="B600" s="2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4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7" t="n"/>
      <c r="AW600" s="3" t="n"/>
      <c r="AX600" s="3" t="n"/>
      <c r="AY600" s="3" t="n"/>
      <c r="AZ600" s="3" t="n"/>
      <c r="BA600" s="3" t="n"/>
      <c r="BB600" s="3" t="n"/>
      <c r="BC600" s="3" t="n"/>
      <c r="BD600" s="3" t="n"/>
      <c r="BE600" s="3" t="n"/>
      <c r="BF600" s="3" t="n"/>
      <c r="BG600" s="3" t="n"/>
      <c r="BH600" s="3" t="n"/>
      <c r="BI600" s="3" t="n"/>
      <c r="BJ600" s="3" t="n"/>
      <c r="BK600" s="3" t="n"/>
      <c r="BL600" s="3" t="n"/>
      <c r="BM600" s="3" t="n"/>
      <c r="BN600" s="3" t="n"/>
    </row>
    <row r="601" ht="12" customHeight="1">
      <c r="B601" s="2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4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7" t="n"/>
      <c r="AW601" s="3" t="n"/>
      <c r="AX601" s="3" t="n"/>
      <c r="AY601" s="3" t="n"/>
      <c r="AZ601" s="3" t="n"/>
      <c r="BA601" s="3" t="n"/>
      <c r="BB601" s="3" t="n"/>
      <c r="BC601" s="3" t="n"/>
      <c r="BD601" s="3" t="n"/>
      <c r="BE601" s="3" t="n"/>
      <c r="BF601" s="3" t="n"/>
      <c r="BG601" s="3" t="n"/>
      <c r="BH601" s="3" t="n"/>
      <c r="BI601" s="3" t="n"/>
      <c r="BJ601" s="3" t="n"/>
      <c r="BK601" s="3" t="n"/>
      <c r="BL601" s="3" t="n"/>
      <c r="BM601" s="3" t="n"/>
      <c r="BN601" s="3" t="n"/>
    </row>
    <row r="602" ht="12" customHeight="1">
      <c r="B602" s="2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4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7" t="n"/>
      <c r="AW602" s="3" t="n"/>
      <c r="AX602" s="3" t="n"/>
      <c r="AY602" s="3" t="n"/>
      <c r="AZ602" s="3" t="n"/>
      <c r="BA602" s="3" t="n"/>
      <c r="BB602" s="3" t="n"/>
      <c r="BC602" s="3" t="n"/>
      <c r="BD602" s="3" t="n"/>
      <c r="BE602" s="3" t="n"/>
      <c r="BF602" s="3" t="n"/>
      <c r="BG602" s="3" t="n"/>
      <c r="BH602" s="3" t="n"/>
      <c r="BI602" s="3" t="n"/>
      <c r="BJ602" s="3" t="n"/>
      <c r="BK602" s="3" t="n"/>
      <c r="BL602" s="3" t="n"/>
      <c r="BM602" s="3" t="n"/>
      <c r="BN602" s="3" t="n"/>
    </row>
    <row r="603" ht="12" customHeight="1">
      <c r="B603" s="2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4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7" t="n"/>
      <c r="AW603" s="3" t="n"/>
      <c r="AX603" s="3" t="n"/>
      <c r="AY603" s="3" t="n"/>
      <c r="AZ603" s="3" t="n"/>
      <c r="BA603" s="3" t="n"/>
      <c r="BB603" s="3" t="n"/>
      <c r="BC603" s="3" t="n"/>
      <c r="BD603" s="3" t="n"/>
      <c r="BE603" s="3" t="n"/>
      <c r="BF603" s="3" t="n"/>
      <c r="BG603" s="3" t="n"/>
      <c r="BH603" s="3" t="n"/>
      <c r="BI603" s="3" t="n"/>
      <c r="BJ603" s="3" t="n"/>
      <c r="BK603" s="3" t="n"/>
      <c r="BL603" s="3" t="n"/>
      <c r="BM603" s="3" t="n"/>
      <c r="BN603" s="3" t="n"/>
    </row>
    <row r="604" ht="12" customHeight="1">
      <c r="B604" s="2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4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7" t="n"/>
      <c r="AW604" s="3" t="n"/>
      <c r="AX604" s="3" t="n"/>
      <c r="AY604" s="3" t="n"/>
      <c r="AZ604" s="3" t="n"/>
      <c r="BA604" s="3" t="n"/>
      <c r="BB604" s="3" t="n"/>
      <c r="BC604" s="3" t="n"/>
      <c r="BD604" s="3" t="n"/>
      <c r="BE604" s="3" t="n"/>
      <c r="BF604" s="3" t="n"/>
      <c r="BG604" s="3" t="n"/>
      <c r="BH604" s="3" t="n"/>
      <c r="BI604" s="3" t="n"/>
      <c r="BJ604" s="3" t="n"/>
      <c r="BK604" s="3" t="n"/>
      <c r="BL604" s="3" t="n"/>
      <c r="BM604" s="3" t="n"/>
      <c r="BN604" s="3" t="n"/>
    </row>
    <row r="605" ht="12" customHeight="1">
      <c r="B605" s="2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4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7" t="n"/>
      <c r="AW605" s="3" t="n"/>
      <c r="AX605" s="3" t="n"/>
      <c r="AY605" s="3" t="n"/>
      <c r="AZ605" s="3" t="n"/>
      <c r="BA605" s="3" t="n"/>
      <c r="BB605" s="3" t="n"/>
      <c r="BC605" s="3" t="n"/>
      <c r="BD605" s="3" t="n"/>
      <c r="BE605" s="3" t="n"/>
      <c r="BF605" s="3" t="n"/>
      <c r="BG605" s="3" t="n"/>
      <c r="BH605" s="3" t="n"/>
      <c r="BI605" s="3" t="n"/>
      <c r="BJ605" s="3" t="n"/>
      <c r="BK605" s="3" t="n"/>
      <c r="BL605" s="3" t="n"/>
      <c r="BM605" s="3" t="n"/>
      <c r="BN605" s="3" t="n"/>
    </row>
    <row r="606" ht="12" customHeight="1">
      <c r="B606" s="2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4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7" t="n"/>
      <c r="AW606" s="3" t="n"/>
      <c r="AX606" s="3" t="n"/>
      <c r="AY606" s="3" t="n"/>
      <c r="AZ606" s="3" t="n"/>
      <c r="BA606" s="3" t="n"/>
      <c r="BB606" s="3" t="n"/>
      <c r="BC606" s="3" t="n"/>
      <c r="BD606" s="3" t="n"/>
      <c r="BE606" s="3" t="n"/>
      <c r="BF606" s="3" t="n"/>
      <c r="BG606" s="3" t="n"/>
      <c r="BH606" s="3" t="n"/>
      <c r="BI606" s="3" t="n"/>
      <c r="BJ606" s="3" t="n"/>
      <c r="BK606" s="3" t="n"/>
      <c r="BL606" s="3" t="n"/>
      <c r="BM606" s="3" t="n"/>
      <c r="BN606" s="3" t="n"/>
    </row>
    <row r="607" ht="12" customHeight="1">
      <c r="B607" s="2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4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7" t="n"/>
      <c r="AW607" s="3" t="n"/>
      <c r="AX607" s="3" t="n"/>
      <c r="AY607" s="3" t="n"/>
      <c r="AZ607" s="3" t="n"/>
      <c r="BA607" s="3" t="n"/>
      <c r="BB607" s="3" t="n"/>
      <c r="BC607" s="3" t="n"/>
      <c r="BD607" s="3" t="n"/>
      <c r="BE607" s="3" t="n"/>
      <c r="BF607" s="3" t="n"/>
      <c r="BG607" s="3" t="n"/>
      <c r="BH607" s="3" t="n"/>
      <c r="BI607" s="3" t="n"/>
      <c r="BJ607" s="3" t="n"/>
      <c r="BK607" s="3" t="n"/>
      <c r="BL607" s="3" t="n"/>
      <c r="BM607" s="3" t="n"/>
      <c r="BN607" s="3" t="n"/>
    </row>
    <row r="608" ht="12" customHeight="1">
      <c r="B608" s="2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4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7" t="n"/>
      <c r="AW608" s="3" t="n"/>
      <c r="AX608" s="3" t="n"/>
      <c r="AY608" s="3" t="n"/>
      <c r="AZ608" s="3" t="n"/>
      <c r="BA608" s="3" t="n"/>
      <c r="BB608" s="3" t="n"/>
      <c r="BC608" s="3" t="n"/>
      <c r="BD608" s="3" t="n"/>
      <c r="BE608" s="3" t="n"/>
      <c r="BF608" s="3" t="n"/>
      <c r="BG608" s="3" t="n"/>
      <c r="BH608" s="3" t="n"/>
      <c r="BI608" s="3" t="n"/>
      <c r="BJ608" s="3" t="n"/>
      <c r="BK608" s="3" t="n"/>
      <c r="BL608" s="3" t="n"/>
      <c r="BM608" s="3" t="n"/>
      <c r="BN608" s="3" t="n"/>
    </row>
    <row r="609" ht="12" customHeight="1">
      <c r="B609" s="2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4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7" t="n"/>
      <c r="AW609" s="3" t="n"/>
      <c r="AX609" s="3" t="n"/>
      <c r="AY609" s="3" t="n"/>
      <c r="AZ609" s="3" t="n"/>
      <c r="BA609" s="3" t="n"/>
      <c r="BB609" s="3" t="n"/>
      <c r="BC609" s="3" t="n"/>
      <c r="BD609" s="3" t="n"/>
      <c r="BE609" s="3" t="n"/>
      <c r="BF609" s="3" t="n"/>
      <c r="BG609" s="3" t="n"/>
      <c r="BH609" s="3" t="n"/>
      <c r="BI609" s="3" t="n"/>
      <c r="BJ609" s="3" t="n"/>
      <c r="BK609" s="3" t="n"/>
      <c r="BL609" s="3" t="n"/>
      <c r="BM609" s="3" t="n"/>
      <c r="BN609" s="3" t="n"/>
    </row>
    <row r="610" ht="12" customHeight="1">
      <c r="B610" s="2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4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7" t="n"/>
      <c r="AW610" s="3" t="n"/>
      <c r="AX610" s="3" t="n"/>
      <c r="AY610" s="3" t="n"/>
      <c r="AZ610" s="3" t="n"/>
      <c r="BA610" s="3" t="n"/>
      <c r="BB610" s="3" t="n"/>
      <c r="BC610" s="3" t="n"/>
      <c r="BD610" s="3" t="n"/>
      <c r="BE610" s="3" t="n"/>
      <c r="BF610" s="3" t="n"/>
      <c r="BG610" s="3" t="n"/>
      <c r="BH610" s="3" t="n"/>
      <c r="BI610" s="3" t="n"/>
      <c r="BJ610" s="3" t="n"/>
      <c r="BK610" s="3" t="n"/>
      <c r="BL610" s="3" t="n"/>
      <c r="BM610" s="3" t="n"/>
      <c r="BN610" s="3" t="n"/>
    </row>
    <row r="611" ht="12" customHeight="1">
      <c r="B611" s="2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4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7" t="n"/>
      <c r="AW611" s="3" t="n"/>
      <c r="AX611" s="3" t="n"/>
      <c r="AY611" s="3" t="n"/>
      <c r="AZ611" s="3" t="n"/>
      <c r="BA611" s="3" t="n"/>
      <c r="BB611" s="3" t="n"/>
      <c r="BC611" s="3" t="n"/>
      <c r="BD611" s="3" t="n"/>
      <c r="BE611" s="3" t="n"/>
      <c r="BF611" s="3" t="n"/>
      <c r="BG611" s="3" t="n"/>
      <c r="BH611" s="3" t="n"/>
      <c r="BI611" s="3" t="n"/>
      <c r="BJ611" s="3" t="n"/>
      <c r="BK611" s="3" t="n"/>
      <c r="BL611" s="3" t="n"/>
      <c r="BM611" s="3" t="n"/>
      <c r="BN611" s="3" t="n"/>
    </row>
    <row r="612" ht="12" customHeight="1">
      <c r="B612" s="2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4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7" t="n"/>
      <c r="AW612" s="3" t="n"/>
      <c r="AX612" s="3" t="n"/>
      <c r="AY612" s="3" t="n"/>
      <c r="AZ612" s="3" t="n"/>
      <c r="BA612" s="3" t="n"/>
      <c r="BB612" s="3" t="n"/>
      <c r="BC612" s="3" t="n"/>
      <c r="BD612" s="3" t="n"/>
      <c r="BE612" s="3" t="n"/>
      <c r="BF612" s="3" t="n"/>
      <c r="BG612" s="3" t="n"/>
      <c r="BH612" s="3" t="n"/>
      <c r="BI612" s="3" t="n"/>
      <c r="BJ612" s="3" t="n"/>
      <c r="BK612" s="3" t="n"/>
      <c r="BL612" s="3" t="n"/>
      <c r="BM612" s="3" t="n"/>
      <c r="BN612" s="3" t="n"/>
    </row>
    <row r="613" ht="12" customHeight="1">
      <c r="B613" s="2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4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7" t="n"/>
      <c r="AW613" s="3" t="n"/>
      <c r="AX613" s="3" t="n"/>
      <c r="AY613" s="3" t="n"/>
      <c r="AZ613" s="3" t="n"/>
      <c r="BA613" s="3" t="n"/>
      <c r="BB613" s="3" t="n"/>
      <c r="BC613" s="3" t="n"/>
      <c r="BD613" s="3" t="n"/>
      <c r="BE613" s="3" t="n"/>
      <c r="BF613" s="3" t="n"/>
      <c r="BG613" s="3" t="n"/>
      <c r="BH613" s="3" t="n"/>
      <c r="BI613" s="3" t="n"/>
      <c r="BJ613" s="3" t="n"/>
      <c r="BK613" s="3" t="n"/>
      <c r="BL613" s="3" t="n"/>
      <c r="BM613" s="3" t="n"/>
      <c r="BN613" s="3" t="n"/>
    </row>
    <row r="614" ht="12" customHeight="1">
      <c r="B614" s="2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4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7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3" t="n"/>
      <c r="BG614" s="3" t="n"/>
      <c r="BH614" s="3" t="n"/>
      <c r="BI614" s="3" t="n"/>
      <c r="BJ614" s="3" t="n"/>
      <c r="BK614" s="3" t="n"/>
      <c r="BL614" s="3" t="n"/>
      <c r="BM614" s="3" t="n"/>
      <c r="BN614" s="3" t="n"/>
    </row>
    <row r="615" ht="12" customHeight="1">
      <c r="B615" s="2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4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7" t="n"/>
      <c r="AW615" s="3" t="n"/>
      <c r="AX615" s="3" t="n"/>
      <c r="AY615" s="3" t="n"/>
      <c r="AZ615" s="3" t="n"/>
      <c r="BA615" s="3" t="n"/>
      <c r="BB615" s="3" t="n"/>
      <c r="BC615" s="3" t="n"/>
      <c r="BD615" s="3" t="n"/>
      <c r="BE615" s="3" t="n"/>
      <c r="BF615" s="3" t="n"/>
      <c r="BG615" s="3" t="n"/>
      <c r="BH615" s="3" t="n"/>
      <c r="BI615" s="3" t="n"/>
      <c r="BJ615" s="3" t="n"/>
      <c r="BK615" s="3" t="n"/>
      <c r="BL615" s="3" t="n"/>
      <c r="BM615" s="3" t="n"/>
      <c r="BN615" s="3" t="n"/>
    </row>
    <row r="616" ht="12" customHeight="1">
      <c r="B616" s="2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4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7" t="n"/>
      <c r="AW616" s="3" t="n"/>
      <c r="AX616" s="3" t="n"/>
      <c r="AY616" s="3" t="n"/>
      <c r="AZ616" s="3" t="n"/>
      <c r="BA616" s="3" t="n"/>
      <c r="BB616" s="3" t="n"/>
      <c r="BC616" s="3" t="n"/>
      <c r="BD616" s="3" t="n"/>
      <c r="BE616" s="3" t="n"/>
      <c r="BF616" s="3" t="n"/>
      <c r="BG616" s="3" t="n"/>
      <c r="BH616" s="3" t="n"/>
      <c r="BI616" s="3" t="n"/>
      <c r="BJ616" s="3" t="n"/>
      <c r="BK616" s="3" t="n"/>
      <c r="BL616" s="3" t="n"/>
      <c r="BM616" s="3" t="n"/>
      <c r="BN616" s="3" t="n"/>
    </row>
    <row r="617" ht="12" customHeight="1">
      <c r="B617" s="2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4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7" t="n"/>
      <c r="AW617" s="3" t="n"/>
      <c r="AX617" s="3" t="n"/>
      <c r="AY617" s="3" t="n"/>
      <c r="AZ617" s="3" t="n"/>
      <c r="BA617" s="3" t="n"/>
      <c r="BB617" s="3" t="n"/>
      <c r="BC617" s="3" t="n"/>
      <c r="BD617" s="3" t="n"/>
      <c r="BE617" s="3" t="n"/>
      <c r="BF617" s="3" t="n"/>
      <c r="BG617" s="3" t="n"/>
      <c r="BH617" s="3" t="n"/>
      <c r="BI617" s="3" t="n"/>
      <c r="BJ617" s="3" t="n"/>
      <c r="BK617" s="3" t="n"/>
      <c r="BL617" s="3" t="n"/>
      <c r="BM617" s="3" t="n"/>
      <c r="BN617" s="3" t="n"/>
    </row>
    <row r="618" ht="12" customHeight="1">
      <c r="B618" s="2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4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7" t="n"/>
      <c r="AW618" s="3" t="n"/>
      <c r="AX618" s="3" t="n"/>
      <c r="AY618" s="3" t="n"/>
      <c r="AZ618" s="3" t="n"/>
      <c r="BA618" s="3" t="n"/>
      <c r="BB618" s="3" t="n"/>
      <c r="BC618" s="3" t="n"/>
      <c r="BD618" s="3" t="n"/>
      <c r="BE618" s="3" t="n"/>
      <c r="BF618" s="3" t="n"/>
      <c r="BG618" s="3" t="n"/>
      <c r="BH618" s="3" t="n"/>
      <c r="BI618" s="3" t="n"/>
      <c r="BJ618" s="3" t="n"/>
      <c r="BK618" s="3" t="n"/>
      <c r="BL618" s="3" t="n"/>
      <c r="BM618" s="3" t="n"/>
      <c r="BN618" s="3" t="n"/>
    </row>
    <row r="619" ht="12" customHeight="1">
      <c r="B619" s="2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4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7" t="n"/>
      <c r="AW619" s="3" t="n"/>
      <c r="AX619" s="3" t="n"/>
      <c r="AY619" s="3" t="n"/>
      <c r="AZ619" s="3" t="n"/>
      <c r="BA619" s="3" t="n"/>
      <c r="BB619" s="3" t="n"/>
      <c r="BC619" s="3" t="n"/>
      <c r="BD619" s="3" t="n"/>
      <c r="BE619" s="3" t="n"/>
      <c r="BF619" s="3" t="n"/>
      <c r="BG619" s="3" t="n"/>
      <c r="BH619" s="3" t="n"/>
      <c r="BI619" s="3" t="n"/>
      <c r="BJ619" s="3" t="n"/>
      <c r="BK619" s="3" t="n"/>
      <c r="BL619" s="3" t="n"/>
      <c r="BM619" s="3" t="n"/>
      <c r="BN619" s="3" t="n"/>
    </row>
    <row r="620" ht="12" customHeight="1">
      <c r="B620" s="2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4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7" t="n"/>
      <c r="AW620" s="3" t="n"/>
      <c r="AX620" s="3" t="n"/>
      <c r="AY620" s="3" t="n"/>
      <c r="AZ620" s="3" t="n"/>
      <c r="BA620" s="3" t="n"/>
      <c r="BB620" s="3" t="n"/>
      <c r="BC620" s="3" t="n"/>
      <c r="BD620" s="3" t="n"/>
      <c r="BE620" s="3" t="n"/>
      <c r="BF620" s="3" t="n"/>
      <c r="BG620" s="3" t="n"/>
      <c r="BH620" s="3" t="n"/>
      <c r="BI620" s="3" t="n"/>
      <c r="BJ620" s="3" t="n"/>
      <c r="BK620" s="3" t="n"/>
      <c r="BL620" s="3" t="n"/>
      <c r="BM620" s="3" t="n"/>
      <c r="BN620" s="3" t="n"/>
    </row>
    <row r="621" ht="12" customHeight="1">
      <c r="B621" s="2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4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7" t="n"/>
      <c r="AW621" s="3" t="n"/>
      <c r="AX621" s="3" t="n"/>
      <c r="AY621" s="3" t="n"/>
      <c r="AZ621" s="3" t="n"/>
      <c r="BA621" s="3" t="n"/>
      <c r="BB621" s="3" t="n"/>
      <c r="BC621" s="3" t="n"/>
      <c r="BD621" s="3" t="n"/>
      <c r="BE621" s="3" t="n"/>
      <c r="BF621" s="3" t="n"/>
      <c r="BG621" s="3" t="n"/>
      <c r="BH621" s="3" t="n"/>
      <c r="BI621" s="3" t="n"/>
      <c r="BJ621" s="3" t="n"/>
      <c r="BK621" s="3" t="n"/>
      <c r="BL621" s="3" t="n"/>
      <c r="BM621" s="3" t="n"/>
      <c r="BN621" s="3" t="n"/>
    </row>
    <row r="622" ht="12" customHeight="1">
      <c r="B622" s="2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4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7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3" t="n"/>
      <c r="BG622" s="3" t="n"/>
      <c r="BH622" s="3" t="n"/>
      <c r="BI622" s="3" t="n"/>
      <c r="BJ622" s="3" t="n"/>
      <c r="BK622" s="3" t="n"/>
      <c r="BL622" s="3" t="n"/>
      <c r="BM622" s="3" t="n"/>
      <c r="BN622" s="3" t="n"/>
    </row>
    <row r="623" ht="12" customHeight="1">
      <c r="B623" s="2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4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7" t="n"/>
      <c r="AW623" s="3" t="n"/>
      <c r="AX623" s="3" t="n"/>
      <c r="AY623" s="3" t="n"/>
      <c r="AZ623" s="3" t="n"/>
      <c r="BA623" s="3" t="n"/>
      <c r="BB623" s="3" t="n"/>
      <c r="BC623" s="3" t="n"/>
      <c r="BD623" s="3" t="n"/>
      <c r="BE623" s="3" t="n"/>
      <c r="BF623" s="3" t="n"/>
      <c r="BG623" s="3" t="n"/>
      <c r="BH623" s="3" t="n"/>
      <c r="BI623" s="3" t="n"/>
      <c r="BJ623" s="3" t="n"/>
      <c r="BK623" s="3" t="n"/>
      <c r="BL623" s="3" t="n"/>
      <c r="BM623" s="3" t="n"/>
      <c r="BN623" s="3" t="n"/>
    </row>
    <row r="624" ht="12" customHeight="1">
      <c r="B624" s="2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4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7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3" t="n"/>
      <c r="BG624" s="3" t="n"/>
      <c r="BH624" s="3" t="n"/>
      <c r="BI624" s="3" t="n"/>
      <c r="BJ624" s="3" t="n"/>
      <c r="BK624" s="3" t="n"/>
      <c r="BL624" s="3" t="n"/>
      <c r="BM624" s="3" t="n"/>
      <c r="BN624" s="3" t="n"/>
    </row>
    <row r="625" ht="12" customHeight="1">
      <c r="B625" s="2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4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7" t="n"/>
      <c r="AW625" s="3" t="n"/>
      <c r="AX625" s="3" t="n"/>
      <c r="AY625" s="3" t="n"/>
      <c r="AZ625" s="3" t="n"/>
      <c r="BA625" s="3" t="n"/>
      <c r="BB625" s="3" t="n"/>
      <c r="BC625" s="3" t="n"/>
      <c r="BD625" s="3" t="n"/>
      <c r="BE625" s="3" t="n"/>
      <c r="BF625" s="3" t="n"/>
      <c r="BG625" s="3" t="n"/>
      <c r="BH625" s="3" t="n"/>
      <c r="BI625" s="3" t="n"/>
      <c r="BJ625" s="3" t="n"/>
      <c r="BK625" s="3" t="n"/>
      <c r="BL625" s="3" t="n"/>
      <c r="BM625" s="3" t="n"/>
      <c r="BN625" s="3" t="n"/>
    </row>
    <row r="626" ht="12" customHeight="1">
      <c r="B626" s="2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4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7" t="n"/>
      <c r="AW626" s="3" t="n"/>
      <c r="AX626" s="3" t="n"/>
      <c r="AY626" s="3" t="n"/>
      <c r="AZ626" s="3" t="n"/>
      <c r="BA626" s="3" t="n"/>
      <c r="BB626" s="3" t="n"/>
      <c r="BC626" s="3" t="n"/>
      <c r="BD626" s="3" t="n"/>
      <c r="BE626" s="3" t="n"/>
      <c r="BF626" s="3" t="n"/>
      <c r="BG626" s="3" t="n"/>
      <c r="BH626" s="3" t="n"/>
      <c r="BI626" s="3" t="n"/>
      <c r="BJ626" s="3" t="n"/>
      <c r="BK626" s="3" t="n"/>
      <c r="BL626" s="3" t="n"/>
      <c r="BM626" s="3" t="n"/>
      <c r="BN626" s="3" t="n"/>
    </row>
    <row r="627" ht="12" customHeight="1">
      <c r="B627" s="2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4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7" t="n"/>
      <c r="AW627" s="3" t="n"/>
      <c r="AX627" s="3" t="n"/>
      <c r="AY627" s="3" t="n"/>
      <c r="AZ627" s="3" t="n"/>
      <c r="BA627" s="3" t="n"/>
      <c r="BB627" s="3" t="n"/>
      <c r="BC627" s="3" t="n"/>
      <c r="BD627" s="3" t="n"/>
      <c r="BE627" s="3" t="n"/>
      <c r="BF627" s="3" t="n"/>
      <c r="BG627" s="3" t="n"/>
      <c r="BH627" s="3" t="n"/>
      <c r="BI627" s="3" t="n"/>
      <c r="BJ627" s="3" t="n"/>
      <c r="BK627" s="3" t="n"/>
      <c r="BL627" s="3" t="n"/>
      <c r="BM627" s="3" t="n"/>
      <c r="BN627" s="3" t="n"/>
    </row>
    <row r="628" ht="12" customHeight="1">
      <c r="B628" s="2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4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7" t="n"/>
      <c r="AW628" s="3" t="n"/>
      <c r="AX628" s="3" t="n"/>
      <c r="AY628" s="3" t="n"/>
      <c r="AZ628" s="3" t="n"/>
      <c r="BA628" s="3" t="n"/>
      <c r="BB628" s="3" t="n"/>
      <c r="BC628" s="3" t="n"/>
      <c r="BD628" s="3" t="n"/>
      <c r="BE628" s="3" t="n"/>
      <c r="BF628" s="3" t="n"/>
      <c r="BG628" s="3" t="n"/>
      <c r="BH628" s="3" t="n"/>
      <c r="BI628" s="3" t="n"/>
      <c r="BJ628" s="3" t="n"/>
      <c r="BK628" s="3" t="n"/>
      <c r="BL628" s="3" t="n"/>
      <c r="BM628" s="3" t="n"/>
      <c r="BN628" s="3" t="n"/>
    </row>
    <row r="629" ht="12" customHeight="1">
      <c r="B629" s="2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4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7" t="n"/>
      <c r="AW629" s="3" t="n"/>
      <c r="AX629" s="3" t="n"/>
      <c r="AY629" s="3" t="n"/>
      <c r="AZ629" s="3" t="n"/>
      <c r="BA629" s="3" t="n"/>
      <c r="BB629" s="3" t="n"/>
      <c r="BC629" s="3" t="n"/>
      <c r="BD629" s="3" t="n"/>
      <c r="BE629" s="3" t="n"/>
      <c r="BF629" s="3" t="n"/>
      <c r="BG629" s="3" t="n"/>
      <c r="BH629" s="3" t="n"/>
      <c r="BI629" s="3" t="n"/>
      <c r="BJ629" s="3" t="n"/>
      <c r="BK629" s="3" t="n"/>
      <c r="BL629" s="3" t="n"/>
      <c r="BM629" s="3" t="n"/>
      <c r="BN629" s="3" t="n"/>
    </row>
    <row r="630" ht="12" customHeight="1">
      <c r="B630" s="2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4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7" t="n"/>
      <c r="AW630" s="3" t="n"/>
      <c r="AX630" s="3" t="n"/>
      <c r="AY630" s="3" t="n"/>
      <c r="AZ630" s="3" t="n"/>
      <c r="BA630" s="3" t="n"/>
      <c r="BB630" s="3" t="n"/>
      <c r="BC630" s="3" t="n"/>
      <c r="BD630" s="3" t="n"/>
      <c r="BE630" s="3" t="n"/>
      <c r="BF630" s="3" t="n"/>
      <c r="BG630" s="3" t="n"/>
      <c r="BH630" s="3" t="n"/>
      <c r="BI630" s="3" t="n"/>
      <c r="BJ630" s="3" t="n"/>
      <c r="BK630" s="3" t="n"/>
      <c r="BL630" s="3" t="n"/>
      <c r="BM630" s="3" t="n"/>
      <c r="BN630" s="3" t="n"/>
    </row>
    <row r="631" ht="12" customHeight="1">
      <c r="B631" s="2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4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7" t="n"/>
      <c r="AW631" s="3" t="n"/>
      <c r="AX631" s="3" t="n"/>
      <c r="AY631" s="3" t="n"/>
      <c r="AZ631" s="3" t="n"/>
      <c r="BA631" s="3" t="n"/>
      <c r="BB631" s="3" t="n"/>
      <c r="BC631" s="3" t="n"/>
      <c r="BD631" s="3" t="n"/>
      <c r="BE631" s="3" t="n"/>
      <c r="BF631" s="3" t="n"/>
      <c r="BG631" s="3" t="n"/>
      <c r="BH631" s="3" t="n"/>
      <c r="BI631" s="3" t="n"/>
      <c r="BJ631" s="3" t="n"/>
      <c r="BK631" s="3" t="n"/>
      <c r="BL631" s="3" t="n"/>
      <c r="BM631" s="3" t="n"/>
      <c r="BN631" s="3" t="n"/>
    </row>
    <row r="632" ht="12" customHeight="1">
      <c r="B632" s="2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4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7" t="n"/>
      <c r="AW632" s="3" t="n"/>
      <c r="AX632" s="3" t="n"/>
      <c r="AY632" s="3" t="n"/>
      <c r="AZ632" s="3" t="n"/>
      <c r="BA632" s="3" t="n"/>
      <c r="BB632" s="3" t="n"/>
      <c r="BC632" s="3" t="n"/>
      <c r="BD632" s="3" t="n"/>
      <c r="BE632" s="3" t="n"/>
      <c r="BF632" s="3" t="n"/>
      <c r="BG632" s="3" t="n"/>
      <c r="BH632" s="3" t="n"/>
      <c r="BI632" s="3" t="n"/>
      <c r="BJ632" s="3" t="n"/>
      <c r="BK632" s="3" t="n"/>
      <c r="BL632" s="3" t="n"/>
      <c r="BM632" s="3" t="n"/>
      <c r="BN632" s="3" t="n"/>
    </row>
    <row r="633" ht="12" customHeight="1">
      <c r="B633" s="2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4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7" t="n"/>
      <c r="AW633" s="3" t="n"/>
      <c r="AX633" s="3" t="n"/>
      <c r="AY633" s="3" t="n"/>
      <c r="AZ633" s="3" t="n"/>
      <c r="BA633" s="3" t="n"/>
      <c r="BB633" s="3" t="n"/>
      <c r="BC633" s="3" t="n"/>
      <c r="BD633" s="3" t="n"/>
      <c r="BE633" s="3" t="n"/>
      <c r="BF633" s="3" t="n"/>
      <c r="BG633" s="3" t="n"/>
      <c r="BH633" s="3" t="n"/>
      <c r="BI633" s="3" t="n"/>
      <c r="BJ633" s="3" t="n"/>
      <c r="BK633" s="3" t="n"/>
      <c r="BL633" s="3" t="n"/>
      <c r="BM633" s="3" t="n"/>
      <c r="BN633" s="3" t="n"/>
    </row>
    <row r="634" ht="12" customHeight="1">
      <c r="B634" s="2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4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7" t="n"/>
      <c r="AW634" s="3" t="n"/>
      <c r="AX634" s="3" t="n"/>
      <c r="AY634" s="3" t="n"/>
      <c r="AZ634" s="3" t="n"/>
      <c r="BA634" s="3" t="n"/>
      <c r="BB634" s="3" t="n"/>
      <c r="BC634" s="3" t="n"/>
      <c r="BD634" s="3" t="n"/>
      <c r="BE634" s="3" t="n"/>
      <c r="BF634" s="3" t="n"/>
      <c r="BG634" s="3" t="n"/>
      <c r="BH634" s="3" t="n"/>
      <c r="BI634" s="3" t="n"/>
      <c r="BJ634" s="3" t="n"/>
      <c r="BK634" s="3" t="n"/>
      <c r="BL634" s="3" t="n"/>
      <c r="BM634" s="3" t="n"/>
      <c r="BN634" s="3" t="n"/>
    </row>
    <row r="635" ht="12" customHeight="1">
      <c r="B635" s="2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4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7" t="n"/>
      <c r="AW635" s="3" t="n"/>
      <c r="AX635" s="3" t="n"/>
      <c r="AY635" s="3" t="n"/>
      <c r="AZ635" s="3" t="n"/>
      <c r="BA635" s="3" t="n"/>
      <c r="BB635" s="3" t="n"/>
      <c r="BC635" s="3" t="n"/>
      <c r="BD635" s="3" t="n"/>
      <c r="BE635" s="3" t="n"/>
      <c r="BF635" s="3" t="n"/>
      <c r="BG635" s="3" t="n"/>
      <c r="BH635" s="3" t="n"/>
      <c r="BI635" s="3" t="n"/>
      <c r="BJ635" s="3" t="n"/>
      <c r="BK635" s="3" t="n"/>
      <c r="BL635" s="3" t="n"/>
      <c r="BM635" s="3" t="n"/>
      <c r="BN635" s="3" t="n"/>
    </row>
    <row r="636" ht="12" customHeight="1">
      <c r="B636" s="2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4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7" t="n"/>
      <c r="AW636" s="3" t="n"/>
      <c r="AX636" s="3" t="n"/>
      <c r="AY636" s="3" t="n"/>
      <c r="AZ636" s="3" t="n"/>
      <c r="BA636" s="3" t="n"/>
      <c r="BB636" s="3" t="n"/>
      <c r="BC636" s="3" t="n"/>
      <c r="BD636" s="3" t="n"/>
      <c r="BE636" s="3" t="n"/>
      <c r="BF636" s="3" t="n"/>
      <c r="BG636" s="3" t="n"/>
      <c r="BH636" s="3" t="n"/>
      <c r="BI636" s="3" t="n"/>
      <c r="BJ636" s="3" t="n"/>
      <c r="BK636" s="3" t="n"/>
      <c r="BL636" s="3" t="n"/>
      <c r="BM636" s="3" t="n"/>
      <c r="BN636" s="3" t="n"/>
    </row>
    <row r="637" ht="12" customHeight="1">
      <c r="B637" s="2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4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7" t="n"/>
      <c r="AW637" s="3" t="n"/>
      <c r="AX637" s="3" t="n"/>
      <c r="AY637" s="3" t="n"/>
      <c r="AZ637" s="3" t="n"/>
      <c r="BA637" s="3" t="n"/>
      <c r="BB637" s="3" t="n"/>
      <c r="BC637" s="3" t="n"/>
      <c r="BD637" s="3" t="n"/>
      <c r="BE637" s="3" t="n"/>
      <c r="BF637" s="3" t="n"/>
      <c r="BG637" s="3" t="n"/>
      <c r="BH637" s="3" t="n"/>
      <c r="BI637" s="3" t="n"/>
      <c r="BJ637" s="3" t="n"/>
      <c r="BK637" s="3" t="n"/>
      <c r="BL637" s="3" t="n"/>
      <c r="BM637" s="3" t="n"/>
      <c r="BN637" s="3" t="n"/>
    </row>
    <row r="638" ht="12" customHeight="1">
      <c r="B638" s="2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4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7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/>
      <c r="BL638" s="3" t="n"/>
      <c r="BM638" s="3" t="n"/>
      <c r="BN638" s="3" t="n"/>
    </row>
    <row r="639" ht="12" customHeight="1">
      <c r="B639" s="2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4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7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3" t="n"/>
      <c r="BG639" s="3" t="n"/>
      <c r="BH639" s="3" t="n"/>
      <c r="BI639" s="3" t="n"/>
      <c r="BJ639" s="3" t="n"/>
      <c r="BK639" s="3" t="n"/>
      <c r="BL639" s="3" t="n"/>
      <c r="BM639" s="3" t="n"/>
      <c r="BN639" s="3" t="n"/>
    </row>
    <row r="640" ht="12" customHeight="1">
      <c r="B640" s="2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4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7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</row>
    <row r="641" ht="12" customHeight="1">
      <c r="B641" s="2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4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7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3" t="n"/>
      <c r="BG641" s="3" t="n"/>
      <c r="BH641" s="3" t="n"/>
      <c r="BI641" s="3" t="n"/>
      <c r="BJ641" s="3" t="n"/>
      <c r="BK641" s="3" t="n"/>
      <c r="BL641" s="3" t="n"/>
      <c r="BM641" s="3" t="n"/>
      <c r="BN641" s="3" t="n"/>
    </row>
    <row r="642" ht="12" customHeight="1">
      <c r="B642" s="2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4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7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</row>
    <row r="643" ht="12" customHeight="1">
      <c r="B643" s="2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4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7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3" t="n"/>
      <c r="BG643" s="3" t="n"/>
      <c r="BH643" s="3" t="n"/>
      <c r="BI643" s="3" t="n"/>
      <c r="BJ643" s="3" t="n"/>
      <c r="BK643" s="3" t="n"/>
      <c r="BL643" s="3" t="n"/>
      <c r="BM643" s="3" t="n"/>
      <c r="BN643" s="3" t="n"/>
    </row>
    <row r="644" ht="12" customHeight="1">
      <c r="B644" s="2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4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7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3" t="n"/>
      <c r="BG644" s="3" t="n"/>
      <c r="BH644" s="3" t="n"/>
      <c r="BI644" s="3" t="n"/>
      <c r="BJ644" s="3" t="n"/>
      <c r="BK644" s="3" t="n"/>
      <c r="BL644" s="3" t="n"/>
      <c r="BM644" s="3" t="n"/>
      <c r="BN644" s="3" t="n"/>
    </row>
    <row r="645" ht="12" customHeight="1">
      <c r="B645" s="2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4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7" t="n"/>
      <c r="AW645" s="3" t="n"/>
      <c r="AX645" s="3" t="n"/>
      <c r="AY645" s="3" t="n"/>
      <c r="AZ645" s="3" t="n"/>
      <c r="BA645" s="3" t="n"/>
      <c r="BB645" s="3" t="n"/>
      <c r="BC645" s="3" t="n"/>
      <c r="BD645" s="3" t="n"/>
      <c r="BE645" s="3" t="n"/>
      <c r="BF645" s="3" t="n"/>
      <c r="BG645" s="3" t="n"/>
      <c r="BH645" s="3" t="n"/>
      <c r="BI645" s="3" t="n"/>
      <c r="BJ645" s="3" t="n"/>
      <c r="BK645" s="3" t="n"/>
      <c r="BL645" s="3" t="n"/>
      <c r="BM645" s="3" t="n"/>
      <c r="BN645" s="3" t="n"/>
    </row>
    <row r="646" ht="12" customHeight="1">
      <c r="B646" s="2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4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7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N646" s="3" t="n"/>
    </row>
    <row r="647" ht="12" customHeight="1">
      <c r="B647" s="2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4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7" t="n"/>
      <c r="AW647" s="3" t="n"/>
      <c r="AX647" s="3" t="n"/>
      <c r="AY647" s="3" t="n"/>
      <c r="AZ647" s="3" t="n"/>
      <c r="BA647" s="3" t="n"/>
      <c r="BB647" s="3" t="n"/>
      <c r="BC647" s="3" t="n"/>
      <c r="BD647" s="3" t="n"/>
      <c r="BE647" s="3" t="n"/>
      <c r="BF647" s="3" t="n"/>
      <c r="BG647" s="3" t="n"/>
      <c r="BH647" s="3" t="n"/>
      <c r="BI647" s="3" t="n"/>
      <c r="BJ647" s="3" t="n"/>
      <c r="BK647" s="3" t="n"/>
      <c r="BL647" s="3" t="n"/>
      <c r="BM647" s="3" t="n"/>
      <c r="BN647" s="3" t="n"/>
    </row>
    <row r="648" ht="12" customHeight="1">
      <c r="B648" s="2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4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7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3" t="n"/>
      <c r="BG648" s="3" t="n"/>
      <c r="BH648" s="3" t="n"/>
      <c r="BI648" s="3" t="n"/>
      <c r="BJ648" s="3" t="n"/>
      <c r="BK648" s="3" t="n"/>
      <c r="BL648" s="3" t="n"/>
      <c r="BM648" s="3" t="n"/>
      <c r="BN648" s="3" t="n"/>
    </row>
    <row r="649" ht="12" customHeight="1">
      <c r="B649" s="2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4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7" t="n"/>
      <c r="AW649" s="3" t="n"/>
      <c r="AX649" s="3" t="n"/>
      <c r="AY649" s="3" t="n"/>
      <c r="AZ649" s="3" t="n"/>
      <c r="BA649" s="3" t="n"/>
      <c r="BB649" s="3" t="n"/>
      <c r="BC649" s="3" t="n"/>
      <c r="BD649" s="3" t="n"/>
      <c r="BE649" s="3" t="n"/>
      <c r="BF649" s="3" t="n"/>
      <c r="BG649" s="3" t="n"/>
      <c r="BH649" s="3" t="n"/>
      <c r="BI649" s="3" t="n"/>
      <c r="BJ649" s="3" t="n"/>
      <c r="BK649" s="3" t="n"/>
      <c r="BL649" s="3" t="n"/>
      <c r="BM649" s="3" t="n"/>
      <c r="BN649" s="3" t="n"/>
    </row>
    <row r="650" ht="12" customHeight="1">
      <c r="B650" s="2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4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7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3" t="n"/>
      <c r="BG650" s="3" t="n"/>
      <c r="BH650" s="3" t="n"/>
      <c r="BI650" s="3" t="n"/>
      <c r="BJ650" s="3" t="n"/>
      <c r="BK650" s="3" t="n"/>
      <c r="BL650" s="3" t="n"/>
      <c r="BM650" s="3" t="n"/>
      <c r="BN650" s="3" t="n"/>
    </row>
    <row r="651" ht="12" customHeight="1">
      <c r="B651" s="2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4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7" t="n"/>
      <c r="AW651" s="3" t="n"/>
      <c r="AX651" s="3" t="n"/>
      <c r="AY651" s="3" t="n"/>
      <c r="AZ651" s="3" t="n"/>
      <c r="BA651" s="3" t="n"/>
      <c r="BB651" s="3" t="n"/>
      <c r="BC651" s="3" t="n"/>
      <c r="BD651" s="3" t="n"/>
      <c r="BE651" s="3" t="n"/>
      <c r="BF651" s="3" t="n"/>
      <c r="BG651" s="3" t="n"/>
      <c r="BH651" s="3" t="n"/>
      <c r="BI651" s="3" t="n"/>
      <c r="BJ651" s="3" t="n"/>
      <c r="BK651" s="3" t="n"/>
      <c r="BL651" s="3" t="n"/>
      <c r="BM651" s="3" t="n"/>
      <c r="BN651" s="3" t="n"/>
    </row>
    <row r="652" ht="12" customHeight="1">
      <c r="B652" s="2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4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7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3" t="n"/>
      <c r="BG652" s="3" t="n"/>
      <c r="BH652" s="3" t="n"/>
      <c r="BI652" s="3" t="n"/>
      <c r="BJ652" s="3" t="n"/>
      <c r="BK652" s="3" t="n"/>
      <c r="BL652" s="3" t="n"/>
      <c r="BM652" s="3" t="n"/>
      <c r="BN652" s="3" t="n"/>
    </row>
    <row r="653" ht="12" customHeight="1">
      <c r="B653" s="2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4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7" t="n"/>
      <c r="AW653" s="3" t="n"/>
      <c r="AX653" s="3" t="n"/>
      <c r="AY653" s="3" t="n"/>
      <c r="AZ653" s="3" t="n"/>
      <c r="BA653" s="3" t="n"/>
      <c r="BB653" s="3" t="n"/>
      <c r="BC653" s="3" t="n"/>
      <c r="BD653" s="3" t="n"/>
      <c r="BE653" s="3" t="n"/>
      <c r="BF653" s="3" t="n"/>
      <c r="BG653" s="3" t="n"/>
      <c r="BH653" s="3" t="n"/>
      <c r="BI653" s="3" t="n"/>
      <c r="BJ653" s="3" t="n"/>
      <c r="BK653" s="3" t="n"/>
      <c r="BL653" s="3" t="n"/>
      <c r="BM653" s="3" t="n"/>
      <c r="BN653" s="3" t="n"/>
    </row>
    <row r="654" ht="12" customHeight="1">
      <c r="B654" s="2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4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7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3" t="n"/>
      <c r="BG654" s="3" t="n"/>
      <c r="BH654" s="3" t="n"/>
      <c r="BI654" s="3" t="n"/>
      <c r="BJ654" s="3" t="n"/>
      <c r="BK654" s="3" t="n"/>
      <c r="BL654" s="3" t="n"/>
      <c r="BM654" s="3" t="n"/>
      <c r="BN654" s="3" t="n"/>
    </row>
    <row r="655" ht="12" customHeight="1">
      <c r="B655" s="2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4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7" t="n"/>
      <c r="AW655" s="3" t="n"/>
      <c r="AX655" s="3" t="n"/>
      <c r="AY655" s="3" t="n"/>
      <c r="AZ655" s="3" t="n"/>
      <c r="BA655" s="3" t="n"/>
      <c r="BB655" s="3" t="n"/>
      <c r="BC655" s="3" t="n"/>
      <c r="BD655" s="3" t="n"/>
      <c r="BE655" s="3" t="n"/>
      <c r="BF655" s="3" t="n"/>
      <c r="BG655" s="3" t="n"/>
      <c r="BH655" s="3" t="n"/>
      <c r="BI655" s="3" t="n"/>
      <c r="BJ655" s="3" t="n"/>
      <c r="BK655" s="3" t="n"/>
      <c r="BL655" s="3" t="n"/>
      <c r="BM655" s="3" t="n"/>
      <c r="BN655" s="3" t="n"/>
    </row>
    <row r="656" ht="12" customHeight="1">
      <c r="B656" s="2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4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7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3" t="n"/>
      <c r="BG656" s="3" t="n"/>
      <c r="BH656" s="3" t="n"/>
      <c r="BI656" s="3" t="n"/>
      <c r="BJ656" s="3" t="n"/>
      <c r="BK656" s="3" t="n"/>
      <c r="BL656" s="3" t="n"/>
      <c r="BM656" s="3" t="n"/>
      <c r="BN656" s="3" t="n"/>
    </row>
    <row r="657" ht="12" customHeight="1">
      <c r="B657" s="2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4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7" t="n"/>
      <c r="AW657" s="3" t="n"/>
      <c r="AX657" s="3" t="n"/>
      <c r="AY657" s="3" t="n"/>
      <c r="AZ657" s="3" t="n"/>
      <c r="BA657" s="3" t="n"/>
      <c r="BB657" s="3" t="n"/>
      <c r="BC657" s="3" t="n"/>
      <c r="BD657" s="3" t="n"/>
      <c r="BE657" s="3" t="n"/>
      <c r="BF657" s="3" t="n"/>
      <c r="BG657" s="3" t="n"/>
      <c r="BH657" s="3" t="n"/>
      <c r="BI657" s="3" t="n"/>
      <c r="BJ657" s="3" t="n"/>
      <c r="BK657" s="3" t="n"/>
      <c r="BL657" s="3" t="n"/>
      <c r="BM657" s="3" t="n"/>
      <c r="BN657" s="3" t="n"/>
    </row>
    <row r="658" ht="12" customHeight="1">
      <c r="B658" s="2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4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7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3" t="n"/>
      <c r="BG658" s="3" t="n"/>
      <c r="BH658" s="3" t="n"/>
      <c r="BI658" s="3" t="n"/>
      <c r="BJ658" s="3" t="n"/>
      <c r="BK658" s="3" t="n"/>
      <c r="BL658" s="3" t="n"/>
      <c r="BM658" s="3" t="n"/>
      <c r="BN658" s="3" t="n"/>
    </row>
    <row r="659" ht="12" customHeight="1">
      <c r="B659" s="2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4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7" t="n"/>
      <c r="AW659" s="3" t="n"/>
      <c r="AX659" s="3" t="n"/>
      <c r="AY659" s="3" t="n"/>
      <c r="AZ659" s="3" t="n"/>
      <c r="BA659" s="3" t="n"/>
      <c r="BB659" s="3" t="n"/>
      <c r="BC659" s="3" t="n"/>
      <c r="BD659" s="3" t="n"/>
      <c r="BE659" s="3" t="n"/>
      <c r="BF659" s="3" t="n"/>
      <c r="BG659" s="3" t="n"/>
      <c r="BH659" s="3" t="n"/>
      <c r="BI659" s="3" t="n"/>
      <c r="BJ659" s="3" t="n"/>
      <c r="BK659" s="3" t="n"/>
      <c r="BL659" s="3" t="n"/>
      <c r="BM659" s="3" t="n"/>
      <c r="BN659" s="3" t="n"/>
    </row>
    <row r="660" ht="12" customHeight="1">
      <c r="B660" s="2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4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7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3" t="n"/>
      <c r="BG660" s="3" t="n"/>
      <c r="BH660" s="3" t="n"/>
      <c r="BI660" s="3" t="n"/>
      <c r="BJ660" s="3" t="n"/>
      <c r="BK660" s="3" t="n"/>
      <c r="BL660" s="3" t="n"/>
      <c r="BM660" s="3" t="n"/>
      <c r="BN660" s="3" t="n"/>
    </row>
    <row r="661" ht="12" customHeight="1">
      <c r="B661" s="2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4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7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</row>
    <row r="662" ht="12" customHeight="1">
      <c r="B662" s="2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4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7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</row>
    <row r="663" ht="12" customHeight="1">
      <c r="B663" s="2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4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7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3" t="n"/>
      <c r="BG663" s="3" t="n"/>
      <c r="BH663" s="3" t="n"/>
      <c r="BI663" s="3" t="n"/>
      <c r="BJ663" s="3" t="n"/>
      <c r="BK663" s="3" t="n"/>
      <c r="BL663" s="3" t="n"/>
      <c r="BM663" s="3" t="n"/>
      <c r="BN663" s="3" t="n"/>
    </row>
    <row r="664" ht="12" customHeight="1">
      <c r="B664" s="2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4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7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n"/>
      <c r="BG664" s="3" t="n"/>
      <c r="BH664" s="3" t="n"/>
      <c r="BI664" s="3" t="n"/>
      <c r="BJ664" s="3" t="n"/>
      <c r="BK664" s="3" t="n"/>
      <c r="BL664" s="3" t="n"/>
      <c r="BM664" s="3" t="n"/>
      <c r="BN664" s="3" t="n"/>
    </row>
    <row r="665" ht="12" customHeight="1">
      <c r="B665" s="2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4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7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N665" s="3" t="n"/>
    </row>
    <row r="666" ht="12" customHeight="1">
      <c r="B666" s="2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4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7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</row>
    <row r="667" ht="12" customHeight="1">
      <c r="B667" s="2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4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7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3" t="n"/>
      <c r="BG667" s="3" t="n"/>
      <c r="BH667" s="3" t="n"/>
      <c r="BI667" s="3" t="n"/>
      <c r="BJ667" s="3" t="n"/>
      <c r="BK667" s="3" t="n"/>
      <c r="BL667" s="3" t="n"/>
      <c r="BM667" s="3" t="n"/>
      <c r="BN667" s="3" t="n"/>
    </row>
    <row r="668" ht="12" customHeight="1">
      <c r="B668" s="2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4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7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</row>
    <row r="669" ht="12" customHeight="1">
      <c r="B669" s="2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4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7" t="n"/>
      <c r="AW669" s="3" t="n"/>
      <c r="AX669" s="3" t="n"/>
      <c r="AY669" s="3" t="n"/>
      <c r="AZ669" s="3" t="n"/>
      <c r="BA669" s="3" t="n"/>
      <c r="BB669" s="3" t="n"/>
      <c r="BC669" s="3" t="n"/>
      <c r="BD669" s="3" t="n"/>
      <c r="BE669" s="3" t="n"/>
      <c r="BF669" s="3" t="n"/>
      <c r="BG669" s="3" t="n"/>
      <c r="BH669" s="3" t="n"/>
      <c r="BI669" s="3" t="n"/>
      <c r="BJ669" s="3" t="n"/>
      <c r="BK669" s="3" t="n"/>
      <c r="BL669" s="3" t="n"/>
      <c r="BM669" s="3" t="n"/>
      <c r="BN669" s="3" t="n"/>
    </row>
    <row r="670" ht="12" customHeight="1">
      <c r="B670" s="2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4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7" t="n"/>
      <c r="AW670" s="3" t="n"/>
      <c r="AX670" s="3" t="n"/>
      <c r="AY670" s="3" t="n"/>
      <c r="AZ670" s="3" t="n"/>
      <c r="BA670" s="3" t="n"/>
      <c r="BB670" s="3" t="n"/>
      <c r="BC670" s="3" t="n"/>
      <c r="BD670" s="3" t="n"/>
      <c r="BE670" s="3" t="n"/>
      <c r="BF670" s="3" t="n"/>
      <c r="BG670" s="3" t="n"/>
      <c r="BH670" s="3" t="n"/>
      <c r="BI670" s="3" t="n"/>
      <c r="BJ670" s="3" t="n"/>
      <c r="BK670" s="3" t="n"/>
      <c r="BL670" s="3" t="n"/>
      <c r="BM670" s="3" t="n"/>
      <c r="BN670" s="3" t="n"/>
    </row>
    <row r="671" ht="12" customHeight="1">
      <c r="B671" s="2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4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7" t="n"/>
      <c r="AW671" s="3" t="n"/>
      <c r="AX671" s="3" t="n"/>
      <c r="AY671" s="3" t="n"/>
      <c r="AZ671" s="3" t="n"/>
      <c r="BA671" s="3" t="n"/>
      <c r="BB671" s="3" t="n"/>
      <c r="BC671" s="3" t="n"/>
      <c r="BD671" s="3" t="n"/>
      <c r="BE671" s="3" t="n"/>
      <c r="BF671" s="3" t="n"/>
      <c r="BG671" s="3" t="n"/>
      <c r="BH671" s="3" t="n"/>
      <c r="BI671" s="3" t="n"/>
      <c r="BJ671" s="3" t="n"/>
      <c r="BK671" s="3" t="n"/>
      <c r="BL671" s="3" t="n"/>
      <c r="BM671" s="3" t="n"/>
      <c r="BN671" s="3" t="n"/>
    </row>
    <row r="672" ht="12" customHeight="1">
      <c r="B672" s="2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4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7" t="n"/>
      <c r="AW672" s="3" t="n"/>
      <c r="AX672" s="3" t="n"/>
      <c r="AY672" s="3" t="n"/>
      <c r="AZ672" s="3" t="n"/>
      <c r="BA672" s="3" t="n"/>
      <c r="BB672" s="3" t="n"/>
      <c r="BC672" s="3" t="n"/>
      <c r="BD672" s="3" t="n"/>
      <c r="BE672" s="3" t="n"/>
      <c r="BF672" s="3" t="n"/>
      <c r="BG672" s="3" t="n"/>
      <c r="BH672" s="3" t="n"/>
      <c r="BI672" s="3" t="n"/>
      <c r="BJ672" s="3" t="n"/>
      <c r="BK672" s="3" t="n"/>
      <c r="BL672" s="3" t="n"/>
      <c r="BM672" s="3" t="n"/>
      <c r="BN672" s="3" t="n"/>
    </row>
    <row r="673" ht="12" customHeight="1">
      <c r="B673" s="2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4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7" t="n"/>
      <c r="AW673" s="3" t="n"/>
      <c r="AX673" s="3" t="n"/>
      <c r="AY673" s="3" t="n"/>
      <c r="AZ673" s="3" t="n"/>
      <c r="BA673" s="3" t="n"/>
      <c r="BB673" s="3" t="n"/>
      <c r="BC673" s="3" t="n"/>
      <c r="BD673" s="3" t="n"/>
      <c r="BE673" s="3" t="n"/>
      <c r="BF673" s="3" t="n"/>
      <c r="BG673" s="3" t="n"/>
      <c r="BH673" s="3" t="n"/>
      <c r="BI673" s="3" t="n"/>
      <c r="BJ673" s="3" t="n"/>
      <c r="BK673" s="3" t="n"/>
      <c r="BL673" s="3" t="n"/>
      <c r="BM673" s="3" t="n"/>
      <c r="BN673" s="3" t="n"/>
    </row>
    <row r="674" ht="12" customHeight="1">
      <c r="B674" s="2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4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7" t="n"/>
      <c r="AW674" s="3" t="n"/>
      <c r="AX674" s="3" t="n"/>
      <c r="AY674" s="3" t="n"/>
      <c r="AZ674" s="3" t="n"/>
      <c r="BA674" s="3" t="n"/>
      <c r="BB674" s="3" t="n"/>
      <c r="BC674" s="3" t="n"/>
      <c r="BD674" s="3" t="n"/>
      <c r="BE674" s="3" t="n"/>
      <c r="BF674" s="3" t="n"/>
      <c r="BG674" s="3" t="n"/>
      <c r="BH674" s="3" t="n"/>
      <c r="BI674" s="3" t="n"/>
      <c r="BJ674" s="3" t="n"/>
      <c r="BK674" s="3" t="n"/>
      <c r="BL674" s="3" t="n"/>
      <c r="BM674" s="3" t="n"/>
      <c r="BN674" s="3" t="n"/>
    </row>
    <row r="675" ht="12" customHeight="1">
      <c r="B675" s="2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4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7" t="n"/>
      <c r="AW675" s="3" t="n"/>
      <c r="AX675" s="3" t="n"/>
      <c r="AY675" s="3" t="n"/>
      <c r="AZ675" s="3" t="n"/>
      <c r="BA675" s="3" t="n"/>
      <c r="BB675" s="3" t="n"/>
      <c r="BC675" s="3" t="n"/>
      <c r="BD675" s="3" t="n"/>
      <c r="BE675" s="3" t="n"/>
      <c r="BF675" s="3" t="n"/>
      <c r="BG675" s="3" t="n"/>
      <c r="BH675" s="3" t="n"/>
      <c r="BI675" s="3" t="n"/>
      <c r="BJ675" s="3" t="n"/>
      <c r="BK675" s="3" t="n"/>
      <c r="BL675" s="3" t="n"/>
      <c r="BM675" s="3" t="n"/>
      <c r="BN675" s="3" t="n"/>
    </row>
    <row r="676" ht="12" customHeight="1">
      <c r="B676" s="2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4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7" t="n"/>
      <c r="AW676" s="3" t="n"/>
      <c r="AX676" s="3" t="n"/>
      <c r="AY676" s="3" t="n"/>
      <c r="AZ676" s="3" t="n"/>
      <c r="BA676" s="3" t="n"/>
      <c r="BB676" s="3" t="n"/>
      <c r="BC676" s="3" t="n"/>
      <c r="BD676" s="3" t="n"/>
      <c r="BE676" s="3" t="n"/>
      <c r="BF676" s="3" t="n"/>
      <c r="BG676" s="3" t="n"/>
      <c r="BH676" s="3" t="n"/>
      <c r="BI676" s="3" t="n"/>
      <c r="BJ676" s="3" t="n"/>
      <c r="BK676" s="3" t="n"/>
      <c r="BL676" s="3" t="n"/>
      <c r="BM676" s="3" t="n"/>
      <c r="BN676" s="3" t="n"/>
    </row>
    <row r="677" ht="12" customHeight="1">
      <c r="B677" s="2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4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7" t="n"/>
      <c r="AW677" s="3" t="n"/>
      <c r="AX677" s="3" t="n"/>
      <c r="AY677" s="3" t="n"/>
      <c r="AZ677" s="3" t="n"/>
      <c r="BA677" s="3" t="n"/>
      <c r="BB677" s="3" t="n"/>
      <c r="BC677" s="3" t="n"/>
      <c r="BD677" s="3" t="n"/>
      <c r="BE677" s="3" t="n"/>
      <c r="BF677" s="3" t="n"/>
      <c r="BG677" s="3" t="n"/>
      <c r="BH677" s="3" t="n"/>
      <c r="BI677" s="3" t="n"/>
      <c r="BJ677" s="3" t="n"/>
      <c r="BK677" s="3" t="n"/>
      <c r="BL677" s="3" t="n"/>
      <c r="BM677" s="3" t="n"/>
      <c r="BN677" s="3" t="n"/>
    </row>
    <row r="678" ht="12" customHeight="1">
      <c r="B678" s="2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4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7" t="n"/>
      <c r="AW678" s="3" t="n"/>
      <c r="AX678" s="3" t="n"/>
      <c r="AY678" s="3" t="n"/>
      <c r="AZ678" s="3" t="n"/>
      <c r="BA678" s="3" t="n"/>
      <c r="BB678" s="3" t="n"/>
      <c r="BC678" s="3" t="n"/>
      <c r="BD678" s="3" t="n"/>
      <c r="BE678" s="3" t="n"/>
      <c r="BF678" s="3" t="n"/>
      <c r="BG678" s="3" t="n"/>
      <c r="BH678" s="3" t="n"/>
      <c r="BI678" s="3" t="n"/>
      <c r="BJ678" s="3" t="n"/>
      <c r="BK678" s="3" t="n"/>
      <c r="BL678" s="3" t="n"/>
      <c r="BM678" s="3" t="n"/>
      <c r="BN678" s="3" t="n"/>
    </row>
    <row r="679" ht="12" customHeight="1">
      <c r="B679" s="2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4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7" t="n"/>
      <c r="AW679" s="3" t="n"/>
      <c r="AX679" s="3" t="n"/>
      <c r="AY679" s="3" t="n"/>
      <c r="AZ679" s="3" t="n"/>
      <c r="BA679" s="3" t="n"/>
      <c r="BB679" s="3" t="n"/>
      <c r="BC679" s="3" t="n"/>
      <c r="BD679" s="3" t="n"/>
      <c r="BE679" s="3" t="n"/>
      <c r="BF679" s="3" t="n"/>
      <c r="BG679" s="3" t="n"/>
      <c r="BH679" s="3" t="n"/>
      <c r="BI679" s="3" t="n"/>
      <c r="BJ679" s="3" t="n"/>
      <c r="BK679" s="3" t="n"/>
      <c r="BL679" s="3" t="n"/>
      <c r="BM679" s="3" t="n"/>
      <c r="BN679" s="3" t="n"/>
    </row>
    <row r="680" ht="12" customHeight="1">
      <c r="B680" s="2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4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7" t="n"/>
      <c r="AW680" s="3" t="n"/>
      <c r="AX680" s="3" t="n"/>
      <c r="AY680" s="3" t="n"/>
      <c r="AZ680" s="3" t="n"/>
      <c r="BA680" s="3" t="n"/>
      <c r="BB680" s="3" t="n"/>
      <c r="BC680" s="3" t="n"/>
      <c r="BD680" s="3" t="n"/>
      <c r="BE680" s="3" t="n"/>
      <c r="BF680" s="3" t="n"/>
      <c r="BG680" s="3" t="n"/>
      <c r="BH680" s="3" t="n"/>
      <c r="BI680" s="3" t="n"/>
      <c r="BJ680" s="3" t="n"/>
      <c r="BK680" s="3" t="n"/>
      <c r="BL680" s="3" t="n"/>
      <c r="BM680" s="3" t="n"/>
      <c r="BN680" s="3" t="n"/>
    </row>
    <row r="681" ht="12" customHeight="1">
      <c r="B681" s="2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4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7" t="n"/>
      <c r="AW681" s="3" t="n"/>
      <c r="AX681" s="3" t="n"/>
      <c r="AY681" s="3" t="n"/>
      <c r="AZ681" s="3" t="n"/>
      <c r="BA681" s="3" t="n"/>
      <c r="BB681" s="3" t="n"/>
      <c r="BC681" s="3" t="n"/>
      <c r="BD681" s="3" t="n"/>
      <c r="BE681" s="3" t="n"/>
      <c r="BF681" s="3" t="n"/>
      <c r="BG681" s="3" t="n"/>
      <c r="BH681" s="3" t="n"/>
      <c r="BI681" s="3" t="n"/>
      <c r="BJ681" s="3" t="n"/>
      <c r="BK681" s="3" t="n"/>
      <c r="BL681" s="3" t="n"/>
      <c r="BM681" s="3" t="n"/>
      <c r="BN681" s="3" t="n"/>
    </row>
    <row r="682" ht="12" customHeight="1">
      <c r="B682" s="2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4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7" t="n"/>
      <c r="AW682" s="3" t="n"/>
      <c r="AX682" s="3" t="n"/>
      <c r="AY682" s="3" t="n"/>
      <c r="AZ682" s="3" t="n"/>
      <c r="BA682" s="3" t="n"/>
      <c r="BB682" s="3" t="n"/>
      <c r="BC682" s="3" t="n"/>
      <c r="BD682" s="3" t="n"/>
      <c r="BE682" s="3" t="n"/>
      <c r="BF682" s="3" t="n"/>
      <c r="BG682" s="3" t="n"/>
      <c r="BH682" s="3" t="n"/>
      <c r="BI682" s="3" t="n"/>
      <c r="BJ682" s="3" t="n"/>
      <c r="BK682" s="3" t="n"/>
      <c r="BL682" s="3" t="n"/>
      <c r="BM682" s="3" t="n"/>
      <c r="BN682" s="3" t="n"/>
    </row>
    <row r="683" ht="12" customHeight="1">
      <c r="B683" s="2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4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7" t="n"/>
      <c r="AW683" s="3" t="n"/>
      <c r="AX683" s="3" t="n"/>
      <c r="AY683" s="3" t="n"/>
      <c r="AZ683" s="3" t="n"/>
      <c r="BA683" s="3" t="n"/>
      <c r="BB683" s="3" t="n"/>
      <c r="BC683" s="3" t="n"/>
      <c r="BD683" s="3" t="n"/>
      <c r="BE683" s="3" t="n"/>
      <c r="BF683" s="3" t="n"/>
      <c r="BG683" s="3" t="n"/>
      <c r="BH683" s="3" t="n"/>
      <c r="BI683" s="3" t="n"/>
      <c r="BJ683" s="3" t="n"/>
      <c r="BK683" s="3" t="n"/>
      <c r="BL683" s="3" t="n"/>
      <c r="BM683" s="3" t="n"/>
      <c r="BN683" s="3" t="n"/>
    </row>
    <row r="684" ht="12" customHeight="1">
      <c r="B684" s="2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4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7" t="n"/>
      <c r="AW684" s="3" t="n"/>
      <c r="AX684" s="3" t="n"/>
      <c r="AY684" s="3" t="n"/>
      <c r="AZ684" s="3" t="n"/>
      <c r="BA684" s="3" t="n"/>
      <c r="BB684" s="3" t="n"/>
      <c r="BC684" s="3" t="n"/>
      <c r="BD684" s="3" t="n"/>
      <c r="BE684" s="3" t="n"/>
      <c r="BF684" s="3" t="n"/>
      <c r="BG684" s="3" t="n"/>
      <c r="BH684" s="3" t="n"/>
      <c r="BI684" s="3" t="n"/>
      <c r="BJ684" s="3" t="n"/>
      <c r="BK684" s="3" t="n"/>
      <c r="BL684" s="3" t="n"/>
      <c r="BM684" s="3" t="n"/>
      <c r="BN684" s="3" t="n"/>
    </row>
    <row r="685" ht="12" customHeight="1">
      <c r="B685" s="2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4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7" t="n"/>
      <c r="AW685" s="3" t="n"/>
      <c r="AX685" s="3" t="n"/>
      <c r="AY685" s="3" t="n"/>
      <c r="AZ685" s="3" t="n"/>
      <c r="BA685" s="3" t="n"/>
      <c r="BB685" s="3" t="n"/>
      <c r="BC685" s="3" t="n"/>
      <c r="BD685" s="3" t="n"/>
      <c r="BE685" s="3" t="n"/>
      <c r="BF685" s="3" t="n"/>
      <c r="BG685" s="3" t="n"/>
      <c r="BH685" s="3" t="n"/>
      <c r="BI685" s="3" t="n"/>
      <c r="BJ685" s="3" t="n"/>
      <c r="BK685" s="3" t="n"/>
      <c r="BL685" s="3" t="n"/>
      <c r="BM685" s="3" t="n"/>
      <c r="BN685" s="3" t="n"/>
    </row>
    <row r="686" ht="12" customHeight="1">
      <c r="B686" s="2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4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7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</row>
    <row r="687" ht="12" customHeight="1">
      <c r="B687" s="2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4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7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3" t="n"/>
      <c r="BG687" s="3" t="n"/>
      <c r="BH687" s="3" t="n"/>
      <c r="BI687" s="3" t="n"/>
      <c r="BJ687" s="3" t="n"/>
      <c r="BK687" s="3" t="n"/>
      <c r="BL687" s="3" t="n"/>
      <c r="BM687" s="3" t="n"/>
      <c r="BN687" s="3" t="n"/>
    </row>
    <row r="688" ht="12" customHeight="1">
      <c r="B688" s="2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4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7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N688" s="3" t="n"/>
    </row>
    <row r="689" ht="12" customHeight="1">
      <c r="B689" s="2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4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7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N689" s="3" t="n"/>
    </row>
    <row r="690" ht="12" customHeight="1">
      <c r="B690" s="2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4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7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</row>
    <row r="691" ht="12" customHeight="1">
      <c r="B691" s="2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4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7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3" t="n"/>
      <c r="BG691" s="3" t="n"/>
      <c r="BH691" s="3" t="n"/>
      <c r="BI691" s="3" t="n"/>
      <c r="BJ691" s="3" t="n"/>
      <c r="BK691" s="3" t="n"/>
      <c r="BL691" s="3" t="n"/>
      <c r="BM691" s="3" t="n"/>
      <c r="BN691" s="3" t="n"/>
    </row>
    <row r="692" ht="12" customHeight="1">
      <c r="B692" s="2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4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7" t="n"/>
      <c r="AW692" s="3" t="n"/>
      <c r="AX692" s="3" t="n"/>
      <c r="AY692" s="3" t="n"/>
      <c r="AZ692" s="3" t="n"/>
      <c r="BA692" s="3" t="n"/>
      <c r="BB692" s="3" t="n"/>
      <c r="BC692" s="3" t="n"/>
      <c r="BD692" s="3" t="n"/>
      <c r="BE692" s="3" t="n"/>
      <c r="BF692" s="3" t="n"/>
      <c r="BG692" s="3" t="n"/>
      <c r="BH692" s="3" t="n"/>
      <c r="BI692" s="3" t="n"/>
      <c r="BJ692" s="3" t="n"/>
      <c r="BK692" s="3" t="n"/>
      <c r="BL692" s="3" t="n"/>
      <c r="BM692" s="3" t="n"/>
      <c r="BN692" s="3" t="n"/>
    </row>
    <row r="693" ht="12" customHeight="1">
      <c r="B693" s="2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4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7" t="n"/>
      <c r="AW693" s="3" t="n"/>
      <c r="AX693" s="3" t="n"/>
      <c r="AY693" s="3" t="n"/>
      <c r="AZ693" s="3" t="n"/>
      <c r="BA693" s="3" t="n"/>
      <c r="BB693" s="3" t="n"/>
      <c r="BC693" s="3" t="n"/>
      <c r="BD693" s="3" t="n"/>
      <c r="BE693" s="3" t="n"/>
      <c r="BF693" s="3" t="n"/>
      <c r="BG693" s="3" t="n"/>
      <c r="BH693" s="3" t="n"/>
      <c r="BI693" s="3" t="n"/>
      <c r="BJ693" s="3" t="n"/>
      <c r="BK693" s="3" t="n"/>
      <c r="BL693" s="3" t="n"/>
      <c r="BM693" s="3" t="n"/>
      <c r="BN693" s="3" t="n"/>
    </row>
    <row r="694" ht="12" customHeight="1">
      <c r="B694" s="2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4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7" t="n"/>
      <c r="AW694" s="3" t="n"/>
      <c r="AX694" s="3" t="n"/>
      <c r="AY694" s="3" t="n"/>
      <c r="AZ694" s="3" t="n"/>
      <c r="BA694" s="3" t="n"/>
      <c r="BB694" s="3" t="n"/>
      <c r="BC694" s="3" t="n"/>
      <c r="BD694" s="3" t="n"/>
      <c r="BE694" s="3" t="n"/>
      <c r="BF694" s="3" t="n"/>
      <c r="BG694" s="3" t="n"/>
      <c r="BH694" s="3" t="n"/>
      <c r="BI694" s="3" t="n"/>
      <c r="BJ694" s="3" t="n"/>
      <c r="BK694" s="3" t="n"/>
      <c r="BL694" s="3" t="n"/>
      <c r="BM694" s="3" t="n"/>
      <c r="BN694" s="3" t="n"/>
    </row>
    <row r="695" ht="12" customHeight="1">
      <c r="B695" s="2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4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7" t="n"/>
      <c r="AW695" s="3" t="n"/>
      <c r="AX695" s="3" t="n"/>
      <c r="AY695" s="3" t="n"/>
      <c r="AZ695" s="3" t="n"/>
      <c r="BA695" s="3" t="n"/>
      <c r="BB695" s="3" t="n"/>
      <c r="BC695" s="3" t="n"/>
      <c r="BD695" s="3" t="n"/>
      <c r="BE695" s="3" t="n"/>
      <c r="BF695" s="3" t="n"/>
      <c r="BG695" s="3" t="n"/>
      <c r="BH695" s="3" t="n"/>
      <c r="BI695" s="3" t="n"/>
      <c r="BJ695" s="3" t="n"/>
      <c r="BK695" s="3" t="n"/>
      <c r="BL695" s="3" t="n"/>
      <c r="BM695" s="3" t="n"/>
      <c r="BN695" s="3" t="n"/>
    </row>
    <row r="696" ht="12" customHeight="1">
      <c r="B696" s="2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4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7" t="n"/>
      <c r="AW696" s="3" t="n"/>
      <c r="AX696" s="3" t="n"/>
      <c r="AY696" s="3" t="n"/>
      <c r="AZ696" s="3" t="n"/>
      <c r="BA696" s="3" t="n"/>
      <c r="BB696" s="3" t="n"/>
      <c r="BC696" s="3" t="n"/>
      <c r="BD696" s="3" t="n"/>
      <c r="BE696" s="3" t="n"/>
      <c r="BF696" s="3" t="n"/>
      <c r="BG696" s="3" t="n"/>
      <c r="BH696" s="3" t="n"/>
      <c r="BI696" s="3" t="n"/>
      <c r="BJ696" s="3" t="n"/>
      <c r="BK696" s="3" t="n"/>
      <c r="BL696" s="3" t="n"/>
      <c r="BM696" s="3" t="n"/>
      <c r="BN696" s="3" t="n"/>
    </row>
    <row r="697" ht="12" customHeight="1">
      <c r="B697" s="2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4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7" t="n"/>
      <c r="AW697" s="3" t="n"/>
      <c r="AX697" s="3" t="n"/>
      <c r="AY697" s="3" t="n"/>
      <c r="AZ697" s="3" t="n"/>
      <c r="BA697" s="3" t="n"/>
      <c r="BB697" s="3" t="n"/>
      <c r="BC697" s="3" t="n"/>
      <c r="BD697" s="3" t="n"/>
      <c r="BE697" s="3" t="n"/>
      <c r="BF697" s="3" t="n"/>
      <c r="BG697" s="3" t="n"/>
      <c r="BH697" s="3" t="n"/>
      <c r="BI697" s="3" t="n"/>
      <c r="BJ697" s="3" t="n"/>
      <c r="BK697" s="3" t="n"/>
      <c r="BL697" s="3" t="n"/>
      <c r="BM697" s="3" t="n"/>
      <c r="BN697" s="3" t="n"/>
    </row>
    <row r="698" ht="12" customHeight="1">
      <c r="B698" s="2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4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7" t="n"/>
      <c r="AW698" s="3" t="n"/>
      <c r="AX698" s="3" t="n"/>
      <c r="AY698" s="3" t="n"/>
      <c r="AZ698" s="3" t="n"/>
      <c r="BA698" s="3" t="n"/>
      <c r="BB698" s="3" t="n"/>
      <c r="BC698" s="3" t="n"/>
      <c r="BD698" s="3" t="n"/>
      <c r="BE698" s="3" t="n"/>
      <c r="BF698" s="3" t="n"/>
      <c r="BG698" s="3" t="n"/>
      <c r="BH698" s="3" t="n"/>
      <c r="BI698" s="3" t="n"/>
      <c r="BJ698" s="3" t="n"/>
      <c r="BK698" s="3" t="n"/>
      <c r="BL698" s="3" t="n"/>
      <c r="BM698" s="3" t="n"/>
      <c r="BN698" s="3" t="n"/>
    </row>
    <row r="699" ht="12" customHeight="1">
      <c r="B699" s="2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4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/>
      <c r="AV699" s="7" t="n"/>
      <c r="AW699" s="3" t="n"/>
      <c r="AX699" s="3" t="n"/>
      <c r="AY699" s="3" t="n"/>
      <c r="AZ699" s="3" t="n"/>
      <c r="BA699" s="3" t="n"/>
      <c r="BB699" s="3" t="n"/>
      <c r="BC699" s="3" t="n"/>
      <c r="BD699" s="3" t="n"/>
      <c r="BE699" s="3" t="n"/>
      <c r="BF699" s="3" t="n"/>
      <c r="BG699" s="3" t="n"/>
      <c r="BH699" s="3" t="n"/>
      <c r="BI699" s="3" t="n"/>
      <c r="BJ699" s="3" t="n"/>
      <c r="BK699" s="3" t="n"/>
      <c r="BL699" s="3" t="n"/>
      <c r="BM699" s="3" t="n"/>
      <c r="BN699" s="3" t="n"/>
    </row>
    <row r="700" ht="12" customHeight="1">
      <c r="B700" s="2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4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7" t="n"/>
      <c r="AW700" s="3" t="n"/>
      <c r="AX700" s="3" t="n"/>
      <c r="AY700" s="3" t="n"/>
      <c r="AZ700" s="3" t="n"/>
      <c r="BA700" s="3" t="n"/>
      <c r="BB700" s="3" t="n"/>
      <c r="BC700" s="3" t="n"/>
      <c r="BD700" s="3" t="n"/>
      <c r="BE700" s="3" t="n"/>
      <c r="BF700" s="3" t="n"/>
      <c r="BG700" s="3" t="n"/>
      <c r="BH700" s="3" t="n"/>
      <c r="BI700" s="3" t="n"/>
      <c r="BJ700" s="3" t="n"/>
      <c r="BK700" s="3" t="n"/>
      <c r="BL700" s="3" t="n"/>
      <c r="BM700" s="3" t="n"/>
      <c r="BN700" s="3" t="n"/>
    </row>
    <row r="701" ht="12" customHeight="1">
      <c r="B701" s="2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4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7" t="n"/>
      <c r="AW701" s="3" t="n"/>
      <c r="AX701" s="3" t="n"/>
      <c r="AY701" s="3" t="n"/>
      <c r="AZ701" s="3" t="n"/>
      <c r="BA701" s="3" t="n"/>
      <c r="BB701" s="3" t="n"/>
      <c r="BC701" s="3" t="n"/>
      <c r="BD701" s="3" t="n"/>
      <c r="BE701" s="3" t="n"/>
      <c r="BF701" s="3" t="n"/>
      <c r="BG701" s="3" t="n"/>
      <c r="BH701" s="3" t="n"/>
      <c r="BI701" s="3" t="n"/>
      <c r="BJ701" s="3" t="n"/>
      <c r="BK701" s="3" t="n"/>
      <c r="BL701" s="3" t="n"/>
      <c r="BM701" s="3" t="n"/>
      <c r="BN701" s="3" t="n"/>
    </row>
    <row r="702" ht="12" customHeight="1">
      <c r="B702" s="2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4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7" t="n"/>
      <c r="AW702" s="3" t="n"/>
      <c r="AX702" s="3" t="n"/>
      <c r="AY702" s="3" t="n"/>
      <c r="AZ702" s="3" t="n"/>
      <c r="BA702" s="3" t="n"/>
      <c r="BB702" s="3" t="n"/>
      <c r="BC702" s="3" t="n"/>
      <c r="BD702" s="3" t="n"/>
      <c r="BE702" s="3" t="n"/>
      <c r="BF702" s="3" t="n"/>
      <c r="BG702" s="3" t="n"/>
      <c r="BH702" s="3" t="n"/>
      <c r="BI702" s="3" t="n"/>
      <c r="BJ702" s="3" t="n"/>
      <c r="BK702" s="3" t="n"/>
      <c r="BL702" s="3" t="n"/>
      <c r="BM702" s="3" t="n"/>
      <c r="BN702" s="3" t="n"/>
    </row>
    <row r="703" ht="12" customHeight="1">
      <c r="B703" s="2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4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  <c r="AT703" s="3" t="n"/>
      <c r="AU703" s="3" t="n"/>
      <c r="AV703" s="7" t="n"/>
      <c r="AW703" s="3" t="n"/>
      <c r="AX703" s="3" t="n"/>
      <c r="AY703" s="3" t="n"/>
      <c r="AZ703" s="3" t="n"/>
      <c r="BA703" s="3" t="n"/>
      <c r="BB703" s="3" t="n"/>
      <c r="BC703" s="3" t="n"/>
      <c r="BD703" s="3" t="n"/>
      <c r="BE703" s="3" t="n"/>
      <c r="BF703" s="3" t="n"/>
      <c r="BG703" s="3" t="n"/>
      <c r="BH703" s="3" t="n"/>
      <c r="BI703" s="3" t="n"/>
      <c r="BJ703" s="3" t="n"/>
      <c r="BK703" s="3" t="n"/>
      <c r="BL703" s="3" t="n"/>
      <c r="BM703" s="3" t="n"/>
      <c r="BN703" s="3" t="n"/>
    </row>
    <row r="704" ht="12" customHeight="1">
      <c r="B704" s="2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4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7" t="n"/>
      <c r="AW704" s="3" t="n"/>
      <c r="AX704" s="3" t="n"/>
      <c r="AY704" s="3" t="n"/>
      <c r="AZ704" s="3" t="n"/>
      <c r="BA704" s="3" t="n"/>
      <c r="BB704" s="3" t="n"/>
      <c r="BC704" s="3" t="n"/>
      <c r="BD704" s="3" t="n"/>
      <c r="BE704" s="3" t="n"/>
      <c r="BF704" s="3" t="n"/>
      <c r="BG704" s="3" t="n"/>
      <c r="BH704" s="3" t="n"/>
      <c r="BI704" s="3" t="n"/>
      <c r="BJ704" s="3" t="n"/>
      <c r="BK704" s="3" t="n"/>
      <c r="BL704" s="3" t="n"/>
      <c r="BM704" s="3" t="n"/>
      <c r="BN704" s="3" t="n"/>
    </row>
    <row r="705" ht="12" customHeight="1">
      <c r="B705" s="2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4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  <c r="AT705" s="3" t="n"/>
      <c r="AU705" s="3" t="n"/>
      <c r="AV705" s="7" t="n"/>
      <c r="AW705" s="3" t="n"/>
      <c r="AX705" s="3" t="n"/>
      <c r="AY705" s="3" t="n"/>
      <c r="AZ705" s="3" t="n"/>
      <c r="BA705" s="3" t="n"/>
      <c r="BB705" s="3" t="n"/>
      <c r="BC705" s="3" t="n"/>
      <c r="BD705" s="3" t="n"/>
      <c r="BE705" s="3" t="n"/>
      <c r="BF705" s="3" t="n"/>
      <c r="BG705" s="3" t="n"/>
      <c r="BH705" s="3" t="n"/>
      <c r="BI705" s="3" t="n"/>
      <c r="BJ705" s="3" t="n"/>
      <c r="BK705" s="3" t="n"/>
      <c r="BL705" s="3" t="n"/>
      <c r="BM705" s="3" t="n"/>
      <c r="BN705" s="3" t="n"/>
    </row>
    <row r="706" ht="12" customHeight="1">
      <c r="B706" s="2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4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7" t="n"/>
      <c r="AW706" s="3" t="n"/>
      <c r="AX706" s="3" t="n"/>
      <c r="AY706" s="3" t="n"/>
      <c r="AZ706" s="3" t="n"/>
      <c r="BA706" s="3" t="n"/>
      <c r="BB706" s="3" t="n"/>
      <c r="BC706" s="3" t="n"/>
      <c r="BD706" s="3" t="n"/>
      <c r="BE706" s="3" t="n"/>
      <c r="BF706" s="3" t="n"/>
      <c r="BG706" s="3" t="n"/>
      <c r="BH706" s="3" t="n"/>
      <c r="BI706" s="3" t="n"/>
      <c r="BJ706" s="3" t="n"/>
      <c r="BK706" s="3" t="n"/>
      <c r="BL706" s="3" t="n"/>
      <c r="BM706" s="3" t="n"/>
      <c r="BN706" s="3" t="n"/>
    </row>
    <row r="707" ht="12" customHeight="1">
      <c r="B707" s="2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4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/>
      <c r="AV707" s="7" t="n"/>
      <c r="AW707" s="3" t="n"/>
      <c r="AX707" s="3" t="n"/>
      <c r="AY707" s="3" t="n"/>
      <c r="AZ707" s="3" t="n"/>
      <c r="BA707" s="3" t="n"/>
      <c r="BB707" s="3" t="n"/>
      <c r="BC707" s="3" t="n"/>
      <c r="BD707" s="3" t="n"/>
      <c r="BE707" s="3" t="n"/>
      <c r="BF707" s="3" t="n"/>
      <c r="BG707" s="3" t="n"/>
      <c r="BH707" s="3" t="n"/>
      <c r="BI707" s="3" t="n"/>
      <c r="BJ707" s="3" t="n"/>
      <c r="BK707" s="3" t="n"/>
      <c r="BL707" s="3" t="n"/>
      <c r="BM707" s="3" t="n"/>
      <c r="BN707" s="3" t="n"/>
    </row>
    <row r="708" ht="12" customHeight="1">
      <c r="B708" s="2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4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7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3" t="n"/>
      <c r="BG708" s="3" t="n"/>
      <c r="BH708" s="3" t="n"/>
      <c r="BI708" s="3" t="n"/>
      <c r="BJ708" s="3" t="n"/>
      <c r="BK708" s="3" t="n"/>
      <c r="BL708" s="3" t="n"/>
      <c r="BM708" s="3" t="n"/>
      <c r="BN708" s="3" t="n"/>
    </row>
    <row r="709" ht="12" customHeight="1">
      <c r="B709" s="2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4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  <c r="AT709" s="3" t="n"/>
      <c r="AU709" s="3" t="n"/>
      <c r="AV709" s="7" t="n"/>
      <c r="AW709" s="3" t="n"/>
      <c r="AX709" s="3" t="n"/>
      <c r="AY709" s="3" t="n"/>
      <c r="AZ709" s="3" t="n"/>
      <c r="BA709" s="3" t="n"/>
      <c r="BB709" s="3" t="n"/>
      <c r="BC709" s="3" t="n"/>
      <c r="BD709" s="3" t="n"/>
      <c r="BE709" s="3" t="n"/>
      <c r="BF709" s="3" t="n"/>
      <c r="BG709" s="3" t="n"/>
      <c r="BH709" s="3" t="n"/>
      <c r="BI709" s="3" t="n"/>
      <c r="BJ709" s="3" t="n"/>
      <c r="BK709" s="3" t="n"/>
      <c r="BL709" s="3" t="n"/>
      <c r="BM709" s="3" t="n"/>
      <c r="BN709" s="3" t="n"/>
    </row>
    <row r="710" ht="12" customHeight="1">
      <c r="B710" s="2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4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7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n"/>
      <c r="BG710" s="3" t="n"/>
      <c r="BH710" s="3" t="n"/>
      <c r="BI710" s="3" t="n"/>
      <c r="BJ710" s="3" t="n"/>
      <c r="BK710" s="3" t="n"/>
      <c r="BL710" s="3" t="n"/>
      <c r="BM710" s="3" t="n"/>
      <c r="BN710" s="3" t="n"/>
    </row>
    <row r="711" ht="12" customHeight="1">
      <c r="B711" s="2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4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7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3" t="n"/>
      <c r="BG711" s="3" t="n"/>
      <c r="BH711" s="3" t="n"/>
      <c r="BI711" s="3" t="n"/>
      <c r="BJ711" s="3" t="n"/>
      <c r="BK711" s="3" t="n"/>
      <c r="BL711" s="3" t="n"/>
      <c r="BM711" s="3" t="n"/>
      <c r="BN711" s="3" t="n"/>
    </row>
    <row r="712" ht="12" customHeight="1">
      <c r="B712" s="2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4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7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</row>
    <row r="713" ht="12" customHeight="1">
      <c r="B713" s="2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4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7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3" t="n"/>
      <c r="BG713" s="3" t="n"/>
      <c r="BH713" s="3" t="n"/>
      <c r="BI713" s="3" t="n"/>
      <c r="BJ713" s="3" t="n"/>
      <c r="BK713" s="3" t="n"/>
      <c r="BL713" s="3" t="n"/>
      <c r="BM713" s="3" t="n"/>
      <c r="BN713" s="3" t="n"/>
    </row>
    <row r="714" ht="12" customHeight="1">
      <c r="B714" s="2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4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7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</row>
    <row r="715" ht="12" customHeight="1">
      <c r="B715" s="2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4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7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3" t="n"/>
      <c r="BG715" s="3" t="n"/>
      <c r="BH715" s="3" t="n"/>
      <c r="BI715" s="3" t="n"/>
      <c r="BJ715" s="3" t="n"/>
      <c r="BK715" s="3" t="n"/>
      <c r="BL715" s="3" t="n"/>
      <c r="BM715" s="3" t="n"/>
      <c r="BN715" s="3" t="n"/>
    </row>
    <row r="716" ht="12" customHeight="1">
      <c r="B716" s="2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4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7" t="n"/>
      <c r="AW716" s="3" t="n"/>
      <c r="AX716" s="3" t="n"/>
      <c r="AY716" s="3" t="n"/>
      <c r="AZ716" s="3" t="n"/>
      <c r="BA716" s="3" t="n"/>
      <c r="BB716" s="3" t="n"/>
      <c r="BC716" s="3" t="n"/>
      <c r="BD716" s="3" t="n"/>
      <c r="BE716" s="3" t="n"/>
      <c r="BF716" s="3" t="n"/>
      <c r="BG716" s="3" t="n"/>
      <c r="BH716" s="3" t="n"/>
      <c r="BI716" s="3" t="n"/>
      <c r="BJ716" s="3" t="n"/>
      <c r="BK716" s="3" t="n"/>
      <c r="BL716" s="3" t="n"/>
      <c r="BM716" s="3" t="n"/>
      <c r="BN716" s="3" t="n"/>
    </row>
    <row r="717" ht="12" customHeight="1">
      <c r="B717" s="2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4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  <c r="AT717" s="3" t="n"/>
      <c r="AU717" s="3" t="n"/>
      <c r="AV717" s="7" t="n"/>
      <c r="AW717" s="3" t="n"/>
      <c r="AX717" s="3" t="n"/>
      <c r="AY717" s="3" t="n"/>
      <c r="AZ717" s="3" t="n"/>
      <c r="BA717" s="3" t="n"/>
      <c r="BB717" s="3" t="n"/>
      <c r="BC717" s="3" t="n"/>
      <c r="BD717" s="3" t="n"/>
      <c r="BE717" s="3" t="n"/>
      <c r="BF717" s="3" t="n"/>
      <c r="BG717" s="3" t="n"/>
      <c r="BH717" s="3" t="n"/>
      <c r="BI717" s="3" t="n"/>
      <c r="BJ717" s="3" t="n"/>
      <c r="BK717" s="3" t="n"/>
      <c r="BL717" s="3" t="n"/>
      <c r="BM717" s="3" t="n"/>
      <c r="BN717" s="3" t="n"/>
    </row>
    <row r="718" ht="12" customHeight="1">
      <c r="B718" s="2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4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7" t="n"/>
      <c r="AW718" s="3" t="n"/>
      <c r="AX718" s="3" t="n"/>
      <c r="AY718" s="3" t="n"/>
      <c r="AZ718" s="3" t="n"/>
      <c r="BA718" s="3" t="n"/>
      <c r="BB718" s="3" t="n"/>
      <c r="BC718" s="3" t="n"/>
      <c r="BD718" s="3" t="n"/>
      <c r="BE718" s="3" t="n"/>
      <c r="BF718" s="3" t="n"/>
      <c r="BG718" s="3" t="n"/>
      <c r="BH718" s="3" t="n"/>
      <c r="BI718" s="3" t="n"/>
      <c r="BJ718" s="3" t="n"/>
      <c r="BK718" s="3" t="n"/>
      <c r="BL718" s="3" t="n"/>
      <c r="BM718" s="3" t="n"/>
      <c r="BN718" s="3" t="n"/>
    </row>
    <row r="719" ht="12" customHeight="1">
      <c r="B719" s="2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4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3" t="n"/>
      <c r="AT719" s="3" t="n"/>
      <c r="AU719" s="3" t="n"/>
      <c r="AV719" s="7" t="n"/>
      <c r="AW719" s="3" t="n"/>
      <c r="AX719" s="3" t="n"/>
      <c r="AY719" s="3" t="n"/>
      <c r="AZ719" s="3" t="n"/>
      <c r="BA719" s="3" t="n"/>
      <c r="BB719" s="3" t="n"/>
      <c r="BC719" s="3" t="n"/>
      <c r="BD719" s="3" t="n"/>
      <c r="BE719" s="3" t="n"/>
      <c r="BF719" s="3" t="n"/>
      <c r="BG719" s="3" t="n"/>
      <c r="BH719" s="3" t="n"/>
      <c r="BI719" s="3" t="n"/>
      <c r="BJ719" s="3" t="n"/>
      <c r="BK719" s="3" t="n"/>
      <c r="BL719" s="3" t="n"/>
      <c r="BM719" s="3" t="n"/>
      <c r="BN719" s="3" t="n"/>
    </row>
    <row r="720" ht="12" customHeight="1">
      <c r="B720" s="2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4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7" t="n"/>
      <c r="AW720" s="3" t="n"/>
      <c r="AX720" s="3" t="n"/>
      <c r="AY720" s="3" t="n"/>
      <c r="AZ720" s="3" t="n"/>
      <c r="BA720" s="3" t="n"/>
      <c r="BB720" s="3" t="n"/>
      <c r="BC720" s="3" t="n"/>
      <c r="BD720" s="3" t="n"/>
      <c r="BE720" s="3" t="n"/>
      <c r="BF720" s="3" t="n"/>
      <c r="BG720" s="3" t="n"/>
      <c r="BH720" s="3" t="n"/>
      <c r="BI720" s="3" t="n"/>
      <c r="BJ720" s="3" t="n"/>
      <c r="BK720" s="3" t="n"/>
      <c r="BL720" s="3" t="n"/>
      <c r="BM720" s="3" t="n"/>
      <c r="BN720" s="3" t="n"/>
    </row>
    <row r="721" ht="12" customHeight="1">
      <c r="B721" s="2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4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3" t="n"/>
      <c r="AT721" s="3" t="n"/>
      <c r="AU721" s="3" t="n"/>
      <c r="AV721" s="7" t="n"/>
      <c r="AW721" s="3" t="n"/>
      <c r="AX721" s="3" t="n"/>
      <c r="AY721" s="3" t="n"/>
      <c r="AZ721" s="3" t="n"/>
      <c r="BA721" s="3" t="n"/>
      <c r="BB721" s="3" t="n"/>
      <c r="BC721" s="3" t="n"/>
      <c r="BD721" s="3" t="n"/>
      <c r="BE721" s="3" t="n"/>
      <c r="BF721" s="3" t="n"/>
      <c r="BG721" s="3" t="n"/>
      <c r="BH721" s="3" t="n"/>
      <c r="BI721" s="3" t="n"/>
      <c r="BJ721" s="3" t="n"/>
      <c r="BK721" s="3" t="n"/>
      <c r="BL721" s="3" t="n"/>
      <c r="BM721" s="3" t="n"/>
      <c r="BN721" s="3" t="n"/>
    </row>
    <row r="722" ht="12" customHeight="1">
      <c r="B722" s="2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4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7" t="n"/>
      <c r="AW722" s="3" t="n"/>
      <c r="AX722" s="3" t="n"/>
      <c r="AY722" s="3" t="n"/>
      <c r="AZ722" s="3" t="n"/>
      <c r="BA722" s="3" t="n"/>
      <c r="BB722" s="3" t="n"/>
      <c r="BC722" s="3" t="n"/>
      <c r="BD722" s="3" t="n"/>
      <c r="BE722" s="3" t="n"/>
      <c r="BF722" s="3" t="n"/>
      <c r="BG722" s="3" t="n"/>
      <c r="BH722" s="3" t="n"/>
      <c r="BI722" s="3" t="n"/>
      <c r="BJ722" s="3" t="n"/>
      <c r="BK722" s="3" t="n"/>
      <c r="BL722" s="3" t="n"/>
      <c r="BM722" s="3" t="n"/>
      <c r="BN722" s="3" t="n"/>
    </row>
    <row r="723" ht="12" customHeight="1">
      <c r="B723" s="2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4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  <c r="AT723" s="3" t="n"/>
      <c r="AU723" s="3" t="n"/>
      <c r="AV723" s="7" t="n"/>
      <c r="AW723" s="3" t="n"/>
      <c r="AX723" s="3" t="n"/>
      <c r="AY723" s="3" t="n"/>
      <c r="AZ723" s="3" t="n"/>
      <c r="BA723" s="3" t="n"/>
      <c r="BB723" s="3" t="n"/>
      <c r="BC723" s="3" t="n"/>
      <c r="BD723" s="3" t="n"/>
      <c r="BE723" s="3" t="n"/>
      <c r="BF723" s="3" t="n"/>
      <c r="BG723" s="3" t="n"/>
      <c r="BH723" s="3" t="n"/>
      <c r="BI723" s="3" t="n"/>
      <c r="BJ723" s="3" t="n"/>
      <c r="BK723" s="3" t="n"/>
      <c r="BL723" s="3" t="n"/>
      <c r="BM723" s="3" t="n"/>
      <c r="BN723" s="3" t="n"/>
    </row>
    <row r="724" ht="12" customHeight="1">
      <c r="B724" s="2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4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7" t="n"/>
      <c r="AW724" s="3" t="n"/>
      <c r="AX724" s="3" t="n"/>
      <c r="AY724" s="3" t="n"/>
      <c r="AZ724" s="3" t="n"/>
      <c r="BA724" s="3" t="n"/>
      <c r="BB724" s="3" t="n"/>
      <c r="BC724" s="3" t="n"/>
      <c r="BD724" s="3" t="n"/>
      <c r="BE724" s="3" t="n"/>
      <c r="BF724" s="3" t="n"/>
      <c r="BG724" s="3" t="n"/>
      <c r="BH724" s="3" t="n"/>
      <c r="BI724" s="3" t="n"/>
      <c r="BJ724" s="3" t="n"/>
      <c r="BK724" s="3" t="n"/>
      <c r="BL724" s="3" t="n"/>
      <c r="BM724" s="3" t="n"/>
      <c r="BN724" s="3" t="n"/>
    </row>
    <row r="725" ht="12" customHeight="1">
      <c r="B725" s="2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4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3" t="n"/>
      <c r="AT725" s="3" t="n"/>
      <c r="AU725" s="3" t="n"/>
      <c r="AV725" s="7" t="n"/>
      <c r="AW725" s="3" t="n"/>
      <c r="AX725" s="3" t="n"/>
      <c r="AY725" s="3" t="n"/>
      <c r="AZ725" s="3" t="n"/>
      <c r="BA725" s="3" t="n"/>
      <c r="BB725" s="3" t="n"/>
      <c r="BC725" s="3" t="n"/>
      <c r="BD725" s="3" t="n"/>
      <c r="BE725" s="3" t="n"/>
      <c r="BF725" s="3" t="n"/>
      <c r="BG725" s="3" t="n"/>
      <c r="BH725" s="3" t="n"/>
      <c r="BI725" s="3" t="n"/>
      <c r="BJ725" s="3" t="n"/>
      <c r="BK725" s="3" t="n"/>
      <c r="BL725" s="3" t="n"/>
      <c r="BM725" s="3" t="n"/>
      <c r="BN725" s="3" t="n"/>
    </row>
    <row r="726" ht="12" customHeight="1">
      <c r="B726" s="2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4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7" t="n"/>
      <c r="AW726" s="3" t="n"/>
      <c r="AX726" s="3" t="n"/>
      <c r="AY726" s="3" t="n"/>
      <c r="AZ726" s="3" t="n"/>
      <c r="BA726" s="3" t="n"/>
      <c r="BB726" s="3" t="n"/>
      <c r="BC726" s="3" t="n"/>
      <c r="BD726" s="3" t="n"/>
      <c r="BE726" s="3" t="n"/>
      <c r="BF726" s="3" t="n"/>
      <c r="BG726" s="3" t="n"/>
      <c r="BH726" s="3" t="n"/>
      <c r="BI726" s="3" t="n"/>
      <c r="BJ726" s="3" t="n"/>
      <c r="BK726" s="3" t="n"/>
      <c r="BL726" s="3" t="n"/>
      <c r="BM726" s="3" t="n"/>
      <c r="BN726" s="3" t="n"/>
    </row>
    <row r="727" ht="12" customHeight="1">
      <c r="B727" s="2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4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  <c r="AT727" s="3" t="n"/>
      <c r="AU727" s="3" t="n"/>
      <c r="AV727" s="7" t="n"/>
      <c r="AW727" s="3" t="n"/>
      <c r="AX727" s="3" t="n"/>
      <c r="AY727" s="3" t="n"/>
      <c r="AZ727" s="3" t="n"/>
      <c r="BA727" s="3" t="n"/>
      <c r="BB727" s="3" t="n"/>
      <c r="BC727" s="3" t="n"/>
      <c r="BD727" s="3" t="n"/>
      <c r="BE727" s="3" t="n"/>
      <c r="BF727" s="3" t="n"/>
      <c r="BG727" s="3" t="n"/>
      <c r="BH727" s="3" t="n"/>
      <c r="BI727" s="3" t="n"/>
      <c r="BJ727" s="3" t="n"/>
      <c r="BK727" s="3" t="n"/>
      <c r="BL727" s="3" t="n"/>
      <c r="BM727" s="3" t="n"/>
      <c r="BN727" s="3" t="n"/>
    </row>
    <row r="728" ht="12" customHeight="1">
      <c r="B728" s="2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4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7" t="n"/>
      <c r="AW728" s="3" t="n"/>
      <c r="AX728" s="3" t="n"/>
      <c r="AY728" s="3" t="n"/>
      <c r="AZ728" s="3" t="n"/>
      <c r="BA728" s="3" t="n"/>
      <c r="BB728" s="3" t="n"/>
      <c r="BC728" s="3" t="n"/>
      <c r="BD728" s="3" t="n"/>
      <c r="BE728" s="3" t="n"/>
      <c r="BF728" s="3" t="n"/>
      <c r="BG728" s="3" t="n"/>
      <c r="BH728" s="3" t="n"/>
      <c r="BI728" s="3" t="n"/>
      <c r="BJ728" s="3" t="n"/>
      <c r="BK728" s="3" t="n"/>
      <c r="BL728" s="3" t="n"/>
      <c r="BM728" s="3" t="n"/>
      <c r="BN728" s="3" t="n"/>
    </row>
    <row r="729" ht="12" customHeight="1">
      <c r="B729" s="2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4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  <c r="AT729" s="3" t="n"/>
      <c r="AU729" s="3" t="n"/>
      <c r="AV729" s="7" t="n"/>
      <c r="AW729" s="3" t="n"/>
      <c r="AX729" s="3" t="n"/>
      <c r="AY729" s="3" t="n"/>
      <c r="AZ729" s="3" t="n"/>
      <c r="BA729" s="3" t="n"/>
      <c r="BB729" s="3" t="n"/>
      <c r="BC729" s="3" t="n"/>
      <c r="BD729" s="3" t="n"/>
      <c r="BE729" s="3" t="n"/>
      <c r="BF729" s="3" t="n"/>
      <c r="BG729" s="3" t="n"/>
      <c r="BH729" s="3" t="n"/>
      <c r="BI729" s="3" t="n"/>
      <c r="BJ729" s="3" t="n"/>
      <c r="BK729" s="3" t="n"/>
      <c r="BL729" s="3" t="n"/>
      <c r="BM729" s="3" t="n"/>
      <c r="BN729" s="3" t="n"/>
    </row>
    <row r="730" ht="12" customHeight="1">
      <c r="B730" s="2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4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7" t="n"/>
      <c r="AW730" s="3" t="n"/>
      <c r="AX730" s="3" t="n"/>
      <c r="AY730" s="3" t="n"/>
      <c r="AZ730" s="3" t="n"/>
      <c r="BA730" s="3" t="n"/>
      <c r="BB730" s="3" t="n"/>
      <c r="BC730" s="3" t="n"/>
      <c r="BD730" s="3" t="n"/>
      <c r="BE730" s="3" t="n"/>
      <c r="BF730" s="3" t="n"/>
      <c r="BG730" s="3" t="n"/>
      <c r="BH730" s="3" t="n"/>
      <c r="BI730" s="3" t="n"/>
      <c r="BJ730" s="3" t="n"/>
      <c r="BK730" s="3" t="n"/>
      <c r="BL730" s="3" t="n"/>
      <c r="BM730" s="3" t="n"/>
      <c r="BN730" s="3" t="n"/>
    </row>
    <row r="731" ht="12" customHeight="1">
      <c r="B731" s="2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4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  <c r="AQ731" s="3" t="n"/>
      <c r="AR731" s="3" t="n"/>
      <c r="AS731" s="3" t="n"/>
      <c r="AT731" s="3" t="n"/>
      <c r="AU731" s="3" t="n"/>
      <c r="AV731" s="7" t="n"/>
      <c r="AW731" s="3" t="n"/>
      <c r="AX731" s="3" t="n"/>
      <c r="AY731" s="3" t="n"/>
      <c r="AZ731" s="3" t="n"/>
      <c r="BA731" s="3" t="n"/>
      <c r="BB731" s="3" t="n"/>
      <c r="BC731" s="3" t="n"/>
      <c r="BD731" s="3" t="n"/>
      <c r="BE731" s="3" t="n"/>
      <c r="BF731" s="3" t="n"/>
      <c r="BG731" s="3" t="n"/>
      <c r="BH731" s="3" t="n"/>
      <c r="BI731" s="3" t="n"/>
      <c r="BJ731" s="3" t="n"/>
      <c r="BK731" s="3" t="n"/>
      <c r="BL731" s="3" t="n"/>
      <c r="BM731" s="3" t="n"/>
      <c r="BN731" s="3" t="n"/>
    </row>
    <row r="732" ht="12" customHeight="1">
      <c r="B732" s="2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4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7" t="n"/>
      <c r="AW732" s="3" t="n"/>
      <c r="AX732" s="3" t="n"/>
      <c r="AY732" s="3" t="n"/>
      <c r="AZ732" s="3" t="n"/>
      <c r="BA732" s="3" t="n"/>
      <c r="BB732" s="3" t="n"/>
      <c r="BC732" s="3" t="n"/>
      <c r="BD732" s="3" t="n"/>
      <c r="BE732" s="3" t="n"/>
      <c r="BF732" s="3" t="n"/>
      <c r="BG732" s="3" t="n"/>
      <c r="BH732" s="3" t="n"/>
      <c r="BI732" s="3" t="n"/>
      <c r="BJ732" s="3" t="n"/>
      <c r="BK732" s="3" t="n"/>
      <c r="BL732" s="3" t="n"/>
      <c r="BM732" s="3" t="n"/>
      <c r="BN732" s="3" t="n"/>
    </row>
    <row r="733" ht="12" customHeight="1">
      <c r="B733" s="2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4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  <c r="AQ733" s="3" t="n"/>
      <c r="AR733" s="3" t="n"/>
      <c r="AS733" s="3" t="n"/>
      <c r="AT733" s="3" t="n"/>
      <c r="AU733" s="3" t="n"/>
      <c r="AV733" s="7" t="n"/>
      <c r="AW733" s="3" t="n"/>
      <c r="AX733" s="3" t="n"/>
      <c r="AY733" s="3" t="n"/>
      <c r="AZ733" s="3" t="n"/>
      <c r="BA733" s="3" t="n"/>
      <c r="BB733" s="3" t="n"/>
      <c r="BC733" s="3" t="n"/>
      <c r="BD733" s="3" t="n"/>
      <c r="BE733" s="3" t="n"/>
      <c r="BF733" s="3" t="n"/>
      <c r="BG733" s="3" t="n"/>
      <c r="BH733" s="3" t="n"/>
      <c r="BI733" s="3" t="n"/>
      <c r="BJ733" s="3" t="n"/>
      <c r="BK733" s="3" t="n"/>
      <c r="BL733" s="3" t="n"/>
      <c r="BM733" s="3" t="n"/>
      <c r="BN733" s="3" t="n"/>
    </row>
    <row r="734" ht="12" customHeight="1">
      <c r="B734" s="2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4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7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</row>
    <row r="735" ht="12" customHeight="1">
      <c r="B735" s="2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4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7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N735" s="3" t="n"/>
    </row>
    <row r="736" ht="12" customHeight="1">
      <c r="B736" s="2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4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7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n"/>
      <c r="BG736" s="3" t="n"/>
      <c r="BH736" s="3" t="n"/>
      <c r="BI736" s="3" t="n"/>
      <c r="BJ736" s="3" t="n"/>
      <c r="BK736" s="3" t="n"/>
      <c r="BL736" s="3" t="n"/>
      <c r="BM736" s="3" t="n"/>
      <c r="BN736" s="3" t="n"/>
    </row>
    <row r="737" ht="12" customHeight="1">
      <c r="B737" s="2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4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7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/>
      <c r="BL737" s="3" t="n"/>
      <c r="BM737" s="3" t="n"/>
      <c r="BN737" s="3" t="n"/>
    </row>
    <row r="738" ht="12" customHeight="1">
      <c r="B738" s="2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4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7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</row>
    <row r="739" ht="12" customHeight="1">
      <c r="B739" s="2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4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7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3" t="n"/>
      <c r="BG739" s="3" t="n"/>
      <c r="BH739" s="3" t="n"/>
      <c r="BI739" s="3" t="n"/>
      <c r="BJ739" s="3" t="n"/>
      <c r="BK739" s="3" t="n"/>
      <c r="BL739" s="3" t="n"/>
      <c r="BM739" s="3" t="n"/>
      <c r="BN739" s="3" t="n"/>
    </row>
    <row r="740" ht="12" customHeight="1">
      <c r="B740" s="2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4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7" t="n"/>
      <c r="AW740" s="3" t="n"/>
      <c r="AX740" s="3" t="n"/>
      <c r="AY740" s="3" t="n"/>
      <c r="AZ740" s="3" t="n"/>
      <c r="BA740" s="3" t="n"/>
      <c r="BB740" s="3" t="n"/>
      <c r="BC740" s="3" t="n"/>
      <c r="BD740" s="3" t="n"/>
      <c r="BE740" s="3" t="n"/>
      <c r="BF740" s="3" t="n"/>
      <c r="BG740" s="3" t="n"/>
      <c r="BH740" s="3" t="n"/>
      <c r="BI740" s="3" t="n"/>
      <c r="BJ740" s="3" t="n"/>
      <c r="BK740" s="3" t="n"/>
      <c r="BL740" s="3" t="n"/>
      <c r="BM740" s="3" t="n"/>
      <c r="BN740" s="3" t="n"/>
    </row>
    <row r="741" ht="12" customHeight="1">
      <c r="B741" s="2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4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3" t="n"/>
      <c r="AT741" s="3" t="n"/>
      <c r="AU741" s="3" t="n"/>
      <c r="AV741" s="7" t="n"/>
      <c r="AW741" s="3" t="n"/>
      <c r="AX741" s="3" t="n"/>
      <c r="AY741" s="3" t="n"/>
      <c r="AZ741" s="3" t="n"/>
      <c r="BA741" s="3" t="n"/>
      <c r="BB741" s="3" t="n"/>
      <c r="BC741" s="3" t="n"/>
      <c r="BD741" s="3" t="n"/>
      <c r="BE741" s="3" t="n"/>
      <c r="BF741" s="3" t="n"/>
      <c r="BG741" s="3" t="n"/>
      <c r="BH741" s="3" t="n"/>
      <c r="BI741" s="3" t="n"/>
      <c r="BJ741" s="3" t="n"/>
      <c r="BK741" s="3" t="n"/>
      <c r="BL741" s="3" t="n"/>
      <c r="BM741" s="3" t="n"/>
      <c r="BN741" s="3" t="n"/>
    </row>
    <row r="742" ht="12" customHeight="1">
      <c r="B742" s="2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4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7" t="n"/>
      <c r="AW742" s="3" t="n"/>
      <c r="AX742" s="3" t="n"/>
      <c r="AY742" s="3" t="n"/>
      <c r="AZ742" s="3" t="n"/>
      <c r="BA742" s="3" t="n"/>
      <c r="BB742" s="3" t="n"/>
      <c r="BC742" s="3" t="n"/>
      <c r="BD742" s="3" t="n"/>
      <c r="BE742" s="3" t="n"/>
      <c r="BF742" s="3" t="n"/>
      <c r="BG742" s="3" t="n"/>
      <c r="BH742" s="3" t="n"/>
      <c r="BI742" s="3" t="n"/>
      <c r="BJ742" s="3" t="n"/>
      <c r="BK742" s="3" t="n"/>
      <c r="BL742" s="3" t="n"/>
      <c r="BM742" s="3" t="n"/>
      <c r="BN742" s="3" t="n"/>
    </row>
    <row r="743" ht="12" customHeight="1">
      <c r="B743" s="2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4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3" t="n"/>
      <c r="AT743" s="3" t="n"/>
      <c r="AU743" s="3" t="n"/>
      <c r="AV743" s="7" t="n"/>
      <c r="AW743" s="3" t="n"/>
      <c r="AX743" s="3" t="n"/>
      <c r="AY743" s="3" t="n"/>
      <c r="AZ743" s="3" t="n"/>
      <c r="BA743" s="3" t="n"/>
      <c r="BB743" s="3" t="n"/>
      <c r="BC743" s="3" t="n"/>
      <c r="BD743" s="3" t="n"/>
      <c r="BE743" s="3" t="n"/>
      <c r="BF743" s="3" t="n"/>
      <c r="BG743" s="3" t="n"/>
      <c r="BH743" s="3" t="n"/>
      <c r="BI743" s="3" t="n"/>
      <c r="BJ743" s="3" t="n"/>
      <c r="BK743" s="3" t="n"/>
      <c r="BL743" s="3" t="n"/>
      <c r="BM743" s="3" t="n"/>
      <c r="BN743" s="3" t="n"/>
    </row>
    <row r="744" ht="12" customHeight="1">
      <c r="B744" s="2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4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7" t="n"/>
      <c r="AW744" s="3" t="n"/>
      <c r="AX744" s="3" t="n"/>
      <c r="AY744" s="3" t="n"/>
      <c r="AZ744" s="3" t="n"/>
      <c r="BA744" s="3" t="n"/>
      <c r="BB744" s="3" t="n"/>
      <c r="BC744" s="3" t="n"/>
      <c r="BD744" s="3" t="n"/>
      <c r="BE744" s="3" t="n"/>
      <c r="BF744" s="3" t="n"/>
      <c r="BG744" s="3" t="n"/>
      <c r="BH744" s="3" t="n"/>
      <c r="BI744" s="3" t="n"/>
      <c r="BJ744" s="3" t="n"/>
      <c r="BK744" s="3" t="n"/>
      <c r="BL744" s="3" t="n"/>
      <c r="BM744" s="3" t="n"/>
      <c r="BN744" s="3" t="n"/>
    </row>
    <row r="745" ht="12" customHeight="1">
      <c r="B745" s="2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4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3" t="n"/>
      <c r="AT745" s="3" t="n"/>
      <c r="AU745" s="3" t="n"/>
      <c r="AV745" s="7" t="n"/>
      <c r="AW745" s="3" t="n"/>
      <c r="AX745" s="3" t="n"/>
      <c r="AY745" s="3" t="n"/>
      <c r="AZ745" s="3" t="n"/>
      <c r="BA745" s="3" t="n"/>
      <c r="BB745" s="3" t="n"/>
      <c r="BC745" s="3" t="n"/>
      <c r="BD745" s="3" t="n"/>
      <c r="BE745" s="3" t="n"/>
      <c r="BF745" s="3" t="n"/>
      <c r="BG745" s="3" t="n"/>
      <c r="BH745" s="3" t="n"/>
      <c r="BI745" s="3" t="n"/>
      <c r="BJ745" s="3" t="n"/>
      <c r="BK745" s="3" t="n"/>
      <c r="BL745" s="3" t="n"/>
      <c r="BM745" s="3" t="n"/>
      <c r="BN745" s="3" t="n"/>
    </row>
    <row r="746" ht="12" customHeight="1">
      <c r="B746" s="2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4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7" t="n"/>
      <c r="AW746" s="3" t="n"/>
      <c r="AX746" s="3" t="n"/>
      <c r="AY746" s="3" t="n"/>
      <c r="AZ746" s="3" t="n"/>
      <c r="BA746" s="3" t="n"/>
      <c r="BB746" s="3" t="n"/>
      <c r="BC746" s="3" t="n"/>
      <c r="BD746" s="3" t="n"/>
      <c r="BE746" s="3" t="n"/>
      <c r="BF746" s="3" t="n"/>
      <c r="BG746" s="3" t="n"/>
      <c r="BH746" s="3" t="n"/>
      <c r="BI746" s="3" t="n"/>
      <c r="BJ746" s="3" t="n"/>
      <c r="BK746" s="3" t="n"/>
      <c r="BL746" s="3" t="n"/>
      <c r="BM746" s="3" t="n"/>
      <c r="BN746" s="3" t="n"/>
    </row>
    <row r="747" ht="12" customHeight="1">
      <c r="B747" s="2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4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7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</row>
    <row r="748" ht="12" customHeight="1">
      <c r="B748" s="2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4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7" t="n"/>
      <c r="AW748" s="3" t="n"/>
      <c r="AX748" s="3" t="n"/>
      <c r="AY748" s="3" t="n"/>
      <c r="AZ748" s="3" t="n"/>
      <c r="BA748" s="3" t="n"/>
      <c r="BB748" s="3" t="n"/>
      <c r="BC748" s="3" t="n"/>
      <c r="BD748" s="3" t="n"/>
      <c r="BE748" s="3" t="n"/>
      <c r="BF748" s="3" t="n"/>
      <c r="BG748" s="3" t="n"/>
      <c r="BH748" s="3" t="n"/>
      <c r="BI748" s="3" t="n"/>
      <c r="BJ748" s="3" t="n"/>
      <c r="BK748" s="3" t="n"/>
      <c r="BL748" s="3" t="n"/>
      <c r="BM748" s="3" t="n"/>
      <c r="BN748" s="3" t="n"/>
    </row>
    <row r="749" ht="12" customHeight="1">
      <c r="B749" s="2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4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  <c r="AQ749" s="3" t="n"/>
      <c r="AR749" s="3" t="n"/>
      <c r="AS749" s="3" t="n"/>
      <c r="AT749" s="3" t="n"/>
      <c r="AU749" s="3" t="n"/>
      <c r="AV749" s="7" t="n"/>
      <c r="AW749" s="3" t="n"/>
      <c r="AX749" s="3" t="n"/>
      <c r="AY749" s="3" t="n"/>
      <c r="AZ749" s="3" t="n"/>
      <c r="BA749" s="3" t="n"/>
      <c r="BB749" s="3" t="n"/>
      <c r="BC749" s="3" t="n"/>
      <c r="BD749" s="3" t="n"/>
      <c r="BE749" s="3" t="n"/>
      <c r="BF749" s="3" t="n"/>
      <c r="BG749" s="3" t="n"/>
      <c r="BH749" s="3" t="n"/>
      <c r="BI749" s="3" t="n"/>
      <c r="BJ749" s="3" t="n"/>
      <c r="BK749" s="3" t="n"/>
      <c r="BL749" s="3" t="n"/>
      <c r="BM749" s="3" t="n"/>
      <c r="BN749" s="3" t="n"/>
    </row>
    <row r="750" ht="12" customHeight="1">
      <c r="B750" s="2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4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7" t="n"/>
      <c r="AW750" s="3" t="n"/>
      <c r="AX750" s="3" t="n"/>
      <c r="AY750" s="3" t="n"/>
      <c r="AZ750" s="3" t="n"/>
      <c r="BA750" s="3" t="n"/>
      <c r="BB750" s="3" t="n"/>
      <c r="BC750" s="3" t="n"/>
      <c r="BD750" s="3" t="n"/>
      <c r="BE750" s="3" t="n"/>
      <c r="BF750" s="3" t="n"/>
      <c r="BG750" s="3" t="n"/>
      <c r="BH750" s="3" t="n"/>
      <c r="BI750" s="3" t="n"/>
      <c r="BJ750" s="3" t="n"/>
      <c r="BK750" s="3" t="n"/>
      <c r="BL750" s="3" t="n"/>
      <c r="BM750" s="3" t="n"/>
      <c r="BN750" s="3" t="n"/>
    </row>
    <row r="751" ht="12" customHeight="1">
      <c r="B751" s="2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4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3" t="n"/>
      <c r="AT751" s="3" t="n"/>
      <c r="AU751" s="3" t="n"/>
      <c r="AV751" s="7" t="n"/>
      <c r="AW751" s="3" t="n"/>
      <c r="AX751" s="3" t="n"/>
      <c r="AY751" s="3" t="n"/>
      <c r="AZ751" s="3" t="n"/>
      <c r="BA751" s="3" t="n"/>
      <c r="BB751" s="3" t="n"/>
      <c r="BC751" s="3" t="n"/>
      <c r="BD751" s="3" t="n"/>
      <c r="BE751" s="3" t="n"/>
      <c r="BF751" s="3" t="n"/>
      <c r="BG751" s="3" t="n"/>
      <c r="BH751" s="3" t="n"/>
      <c r="BI751" s="3" t="n"/>
      <c r="BJ751" s="3" t="n"/>
      <c r="BK751" s="3" t="n"/>
      <c r="BL751" s="3" t="n"/>
      <c r="BM751" s="3" t="n"/>
      <c r="BN751" s="3" t="n"/>
    </row>
    <row r="752" ht="12" customHeight="1">
      <c r="B752" s="2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4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7" t="n"/>
      <c r="AW752" s="3" t="n"/>
      <c r="AX752" s="3" t="n"/>
      <c r="AY752" s="3" t="n"/>
      <c r="AZ752" s="3" t="n"/>
      <c r="BA752" s="3" t="n"/>
      <c r="BB752" s="3" t="n"/>
      <c r="BC752" s="3" t="n"/>
      <c r="BD752" s="3" t="n"/>
      <c r="BE752" s="3" t="n"/>
      <c r="BF752" s="3" t="n"/>
      <c r="BG752" s="3" t="n"/>
      <c r="BH752" s="3" t="n"/>
      <c r="BI752" s="3" t="n"/>
      <c r="BJ752" s="3" t="n"/>
      <c r="BK752" s="3" t="n"/>
      <c r="BL752" s="3" t="n"/>
      <c r="BM752" s="3" t="n"/>
      <c r="BN752" s="3" t="n"/>
    </row>
    <row r="753" ht="12" customHeight="1">
      <c r="B753" s="2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4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3" t="n"/>
      <c r="AT753" s="3" t="n"/>
      <c r="AU753" s="3" t="n"/>
      <c r="AV753" s="7" t="n"/>
      <c r="AW753" s="3" t="n"/>
      <c r="AX753" s="3" t="n"/>
      <c r="AY753" s="3" t="n"/>
      <c r="AZ753" s="3" t="n"/>
      <c r="BA753" s="3" t="n"/>
      <c r="BB753" s="3" t="n"/>
      <c r="BC753" s="3" t="n"/>
      <c r="BD753" s="3" t="n"/>
      <c r="BE753" s="3" t="n"/>
      <c r="BF753" s="3" t="n"/>
      <c r="BG753" s="3" t="n"/>
      <c r="BH753" s="3" t="n"/>
      <c r="BI753" s="3" t="n"/>
      <c r="BJ753" s="3" t="n"/>
      <c r="BK753" s="3" t="n"/>
      <c r="BL753" s="3" t="n"/>
      <c r="BM753" s="3" t="n"/>
      <c r="BN753" s="3" t="n"/>
    </row>
    <row r="754" ht="12" customHeight="1">
      <c r="B754" s="2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4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7" t="n"/>
      <c r="AW754" s="3" t="n"/>
      <c r="AX754" s="3" t="n"/>
      <c r="AY754" s="3" t="n"/>
      <c r="AZ754" s="3" t="n"/>
      <c r="BA754" s="3" t="n"/>
      <c r="BB754" s="3" t="n"/>
      <c r="BC754" s="3" t="n"/>
      <c r="BD754" s="3" t="n"/>
      <c r="BE754" s="3" t="n"/>
      <c r="BF754" s="3" t="n"/>
      <c r="BG754" s="3" t="n"/>
      <c r="BH754" s="3" t="n"/>
      <c r="BI754" s="3" t="n"/>
      <c r="BJ754" s="3" t="n"/>
      <c r="BK754" s="3" t="n"/>
      <c r="BL754" s="3" t="n"/>
      <c r="BM754" s="3" t="n"/>
      <c r="BN754" s="3" t="n"/>
    </row>
    <row r="755" ht="12" customHeight="1">
      <c r="B755" s="2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4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  <c r="AQ755" s="3" t="n"/>
      <c r="AR755" s="3" t="n"/>
      <c r="AS755" s="3" t="n"/>
      <c r="AT755" s="3" t="n"/>
      <c r="AU755" s="3" t="n"/>
      <c r="AV755" s="7" t="n"/>
      <c r="AW755" s="3" t="n"/>
      <c r="AX755" s="3" t="n"/>
      <c r="AY755" s="3" t="n"/>
      <c r="AZ755" s="3" t="n"/>
      <c r="BA755" s="3" t="n"/>
      <c r="BB755" s="3" t="n"/>
      <c r="BC755" s="3" t="n"/>
      <c r="BD755" s="3" t="n"/>
      <c r="BE755" s="3" t="n"/>
      <c r="BF755" s="3" t="n"/>
      <c r="BG755" s="3" t="n"/>
      <c r="BH755" s="3" t="n"/>
      <c r="BI755" s="3" t="n"/>
      <c r="BJ755" s="3" t="n"/>
      <c r="BK755" s="3" t="n"/>
      <c r="BL755" s="3" t="n"/>
      <c r="BM755" s="3" t="n"/>
      <c r="BN755" s="3" t="n"/>
    </row>
    <row r="756" ht="12" customHeight="1">
      <c r="B756" s="2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4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7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</row>
    <row r="757" ht="12" customHeight="1">
      <c r="B757" s="2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4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  <c r="AQ757" s="3" t="n"/>
      <c r="AR757" s="3" t="n"/>
      <c r="AS757" s="3" t="n"/>
      <c r="AT757" s="3" t="n"/>
      <c r="AU757" s="3" t="n"/>
      <c r="AV757" s="7" t="n"/>
      <c r="AW757" s="3" t="n"/>
      <c r="AX757" s="3" t="n"/>
      <c r="AY757" s="3" t="n"/>
      <c r="AZ757" s="3" t="n"/>
      <c r="BA757" s="3" t="n"/>
      <c r="BB757" s="3" t="n"/>
      <c r="BC757" s="3" t="n"/>
      <c r="BD757" s="3" t="n"/>
      <c r="BE757" s="3" t="n"/>
      <c r="BF757" s="3" t="n"/>
      <c r="BG757" s="3" t="n"/>
      <c r="BH757" s="3" t="n"/>
      <c r="BI757" s="3" t="n"/>
      <c r="BJ757" s="3" t="n"/>
      <c r="BK757" s="3" t="n"/>
      <c r="BL757" s="3" t="n"/>
      <c r="BM757" s="3" t="n"/>
      <c r="BN757" s="3" t="n"/>
    </row>
    <row r="758" ht="12" customHeight="1">
      <c r="B758" s="2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4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7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</row>
    <row r="759" ht="12" customHeight="1">
      <c r="B759" s="2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4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7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3" t="n"/>
      <c r="BG759" s="3" t="n"/>
      <c r="BH759" s="3" t="n"/>
      <c r="BI759" s="3" t="n"/>
      <c r="BJ759" s="3" t="n"/>
      <c r="BK759" s="3" t="n"/>
      <c r="BL759" s="3" t="n"/>
      <c r="BM759" s="3" t="n"/>
      <c r="BN759" s="3" t="n"/>
    </row>
    <row r="760" ht="12" customHeight="1">
      <c r="B760" s="2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4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7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</row>
    <row r="761" ht="12" customHeight="1">
      <c r="B761" s="2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4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7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3" t="n"/>
      <c r="BG761" s="3" t="n"/>
      <c r="BH761" s="3" t="n"/>
      <c r="BI761" s="3" t="n"/>
      <c r="BJ761" s="3" t="n"/>
      <c r="BK761" s="3" t="n"/>
      <c r="BL761" s="3" t="n"/>
      <c r="BM761" s="3" t="n"/>
      <c r="BN761" s="3" t="n"/>
    </row>
    <row r="762" ht="12" customHeight="1">
      <c r="B762" s="2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4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7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</row>
    <row r="763" ht="12" customHeight="1">
      <c r="B763" s="2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4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7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N763" s="3" t="n"/>
    </row>
    <row r="764" ht="12" customHeight="1">
      <c r="B764" s="2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4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7" t="n"/>
      <c r="AW764" s="3" t="n"/>
      <c r="AX764" s="3" t="n"/>
      <c r="AY764" s="3" t="n"/>
      <c r="AZ764" s="3" t="n"/>
      <c r="BA764" s="3" t="n"/>
      <c r="BB764" s="3" t="n"/>
      <c r="BC764" s="3" t="n"/>
      <c r="BD764" s="3" t="n"/>
      <c r="BE764" s="3" t="n"/>
      <c r="BF764" s="3" t="n"/>
      <c r="BG764" s="3" t="n"/>
      <c r="BH764" s="3" t="n"/>
      <c r="BI764" s="3" t="n"/>
      <c r="BJ764" s="3" t="n"/>
      <c r="BK764" s="3" t="n"/>
      <c r="BL764" s="3" t="n"/>
      <c r="BM764" s="3" t="n"/>
      <c r="BN764" s="3" t="n"/>
    </row>
    <row r="765" ht="12" customHeight="1">
      <c r="B765" s="2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4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3" t="n"/>
      <c r="AT765" s="3" t="n"/>
      <c r="AU765" s="3" t="n"/>
      <c r="AV765" s="7" t="n"/>
      <c r="AW765" s="3" t="n"/>
      <c r="AX765" s="3" t="n"/>
      <c r="AY765" s="3" t="n"/>
      <c r="AZ765" s="3" t="n"/>
      <c r="BA765" s="3" t="n"/>
      <c r="BB765" s="3" t="n"/>
      <c r="BC765" s="3" t="n"/>
      <c r="BD765" s="3" t="n"/>
      <c r="BE765" s="3" t="n"/>
      <c r="BF765" s="3" t="n"/>
      <c r="BG765" s="3" t="n"/>
      <c r="BH765" s="3" t="n"/>
      <c r="BI765" s="3" t="n"/>
      <c r="BJ765" s="3" t="n"/>
      <c r="BK765" s="3" t="n"/>
      <c r="BL765" s="3" t="n"/>
      <c r="BM765" s="3" t="n"/>
      <c r="BN765" s="3" t="n"/>
    </row>
    <row r="766" ht="12" customHeight="1">
      <c r="B766" s="2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4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7" t="n"/>
      <c r="AW766" s="3" t="n"/>
      <c r="AX766" s="3" t="n"/>
      <c r="AY766" s="3" t="n"/>
      <c r="AZ766" s="3" t="n"/>
      <c r="BA766" s="3" t="n"/>
      <c r="BB766" s="3" t="n"/>
      <c r="BC766" s="3" t="n"/>
      <c r="BD766" s="3" t="n"/>
      <c r="BE766" s="3" t="n"/>
      <c r="BF766" s="3" t="n"/>
      <c r="BG766" s="3" t="n"/>
      <c r="BH766" s="3" t="n"/>
      <c r="BI766" s="3" t="n"/>
      <c r="BJ766" s="3" t="n"/>
      <c r="BK766" s="3" t="n"/>
      <c r="BL766" s="3" t="n"/>
      <c r="BM766" s="3" t="n"/>
      <c r="BN766" s="3" t="n"/>
    </row>
    <row r="767" ht="12" customHeight="1">
      <c r="B767" s="2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4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  <c r="AQ767" s="3" t="n"/>
      <c r="AR767" s="3" t="n"/>
      <c r="AS767" s="3" t="n"/>
      <c r="AT767" s="3" t="n"/>
      <c r="AU767" s="3" t="n"/>
      <c r="AV767" s="7" t="n"/>
      <c r="AW767" s="3" t="n"/>
      <c r="AX767" s="3" t="n"/>
      <c r="AY767" s="3" t="n"/>
      <c r="AZ767" s="3" t="n"/>
      <c r="BA767" s="3" t="n"/>
      <c r="BB767" s="3" t="n"/>
      <c r="BC767" s="3" t="n"/>
      <c r="BD767" s="3" t="n"/>
      <c r="BE767" s="3" t="n"/>
      <c r="BF767" s="3" t="n"/>
      <c r="BG767" s="3" t="n"/>
      <c r="BH767" s="3" t="n"/>
      <c r="BI767" s="3" t="n"/>
      <c r="BJ767" s="3" t="n"/>
      <c r="BK767" s="3" t="n"/>
      <c r="BL767" s="3" t="n"/>
      <c r="BM767" s="3" t="n"/>
      <c r="BN767" s="3" t="n"/>
    </row>
    <row r="768" ht="12" customHeight="1">
      <c r="B768" s="2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4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7" t="n"/>
      <c r="AW768" s="3" t="n"/>
      <c r="AX768" s="3" t="n"/>
      <c r="AY768" s="3" t="n"/>
      <c r="AZ768" s="3" t="n"/>
      <c r="BA768" s="3" t="n"/>
      <c r="BB768" s="3" t="n"/>
      <c r="BC768" s="3" t="n"/>
      <c r="BD768" s="3" t="n"/>
      <c r="BE768" s="3" t="n"/>
      <c r="BF768" s="3" t="n"/>
      <c r="BG768" s="3" t="n"/>
      <c r="BH768" s="3" t="n"/>
      <c r="BI768" s="3" t="n"/>
      <c r="BJ768" s="3" t="n"/>
      <c r="BK768" s="3" t="n"/>
      <c r="BL768" s="3" t="n"/>
      <c r="BM768" s="3" t="n"/>
      <c r="BN768" s="3" t="n"/>
    </row>
    <row r="769" ht="12" customHeight="1">
      <c r="B769" s="2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4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  <c r="AQ769" s="3" t="n"/>
      <c r="AR769" s="3" t="n"/>
      <c r="AS769" s="3" t="n"/>
      <c r="AT769" s="3" t="n"/>
      <c r="AU769" s="3" t="n"/>
      <c r="AV769" s="7" t="n"/>
      <c r="AW769" s="3" t="n"/>
      <c r="AX769" s="3" t="n"/>
      <c r="AY769" s="3" t="n"/>
      <c r="AZ769" s="3" t="n"/>
      <c r="BA769" s="3" t="n"/>
      <c r="BB769" s="3" t="n"/>
      <c r="BC769" s="3" t="n"/>
      <c r="BD769" s="3" t="n"/>
      <c r="BE769" s="3" t="n"/>
      <c r="BF769" s="3" t="n"/>
      <c r="BG769" s="3" t="n"/>
      <c r="BH769" s="3" t="n"/>
      <c r="BI769" s="3" t="n"/>
      <c r="BJ769" s="3" t="n"/>
      <c r="BK769" s="3" t="n"/>
      <c r="BL769" s="3" t="n"/>
      <c r="BM769" s="3" t="n"/>
      <c r="BN769" s="3" t="n"/>
    </row>
    <row r="770" ht="12" customHeight="1">
      <c r="B770" s="2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4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7" t="n"/>
      <c r="AW770" s="3" t="n"/>
      <c r="AX770" s="3" t="n"/>
      <c r="AY770" s="3" t="n"/>
      <c r="AZ770" s="3" t="n"/>
      <c r="BA770" s="3" t="n"/>
      <c r="BB770" s="3" t="n"/>
      <c r="BC770" s="3" t="n"/>
      <c r="BD770" s="3" t="n"/>
      <c r="BE770" s="3" t="n"/>
      <c r="BF770" s="3" t="n"/>
      <c r="BG770" s="3" t="n"/>
      <c r="BH770" s="3" t="n"/>
      <c r="BI770" s="3" t="n"/>
      <c r="BJ770" s="3" t="n"/>
      <c r="BK770" s="3" t="n"/>
      <c r="BL770" s="3" t="n"/>
      <c r="BM770" s="3" t="n"/>
      <c r="BN770" s="3" t="n"/>
    </row>
    <row r="771" ht="12" customHeight="1">
      <c r="B771" s="2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4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  <c r="AQ771" s="3" t="n"/>
      <c r="AR771" s="3" t="n"/>
      <c r="AS771" s="3" t="n"/>
      <c r="AT771" s="3" t="n"/>
      <c r="AU771" s="3" t="n"/>
      <c r="AV771" s="7" t="n"/>
      <c r="AW771" s="3" t="n"/>
      <c r="AX771" s="3" t="n"/>
      <c r="AY771" s="3" t="n"/>
      <c r="AZ771" s="3" t="n"/>
      <c r="BA771" s="3" t="n"/>
      <c r="BB771" s="3" t="n"/>
      <c r="BC771" s="3" t="n"/>
      <c r="BD771" s="3" t="n"/>
      <c r="BE771" s="3" t="n"/>
      <c r="BF771" s="3" t="n"/>
      <c r="BG771" s="3" t="n"/>
      <c r="BH771" s="3" t="n"/>
      <c r="BI771" s="3" t="n"/>
      <c r="BJ771" s="3" t="n"/>
      <c r="BK771" s="3" t="n"/>
      <c r="BL771" s="3" t="n"/>
      <c r="BM771" s="3" t="n"/>
      <c r="BN771" s="3" t="n"/>
    </row>
    <row r="772" ht="12" customHeight="1">
      <c r="B772" s="2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4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7" t="n"/>
      <c r="AW772" s="3" t="n"/>
      <c r="AX772" s="3" t="n"/>
      <c r="AY772" s="3" t="n"/>
      <c r="AZ772" s="3" t="n"/>
      <c r="BA772" s="3" t="n"/>
      <c r="BB772" s="3" t="n"/>
      <c r="BC772" s="3" t="n"/>
      <c r="BD772" s="3" t="n"/>
      <c r="BE772" s="3" t="n"/>
      <c r="BF772" s="3" t="n"/>
      <c r="BG772" s="3" t="n"/>
      <c r="BH772" s="3" t="n"/>
      <c r="BI772" s="3" t="n"/>
      <c r="BJ772" s="3" t="n"/>
      <c r="BK772" s="3" t="n"/>
      <c r="BL772" s="3" t="n"/>
      <c r="BM772" s="3" t="n"/>
      <c r="BN772" s="3" t="n"/>
    </row>
    <row r="773" ht="12" customHeight="1">
      <c r="B773" s="2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4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3" t="n"/>
      <c r="AT773" s="3" t="n"/>
      <c r="AU773" s="3" t="n"/>
      <c r="AV773" s="7" t="n"/>
      <c r="AW773" s="3" t="n"/>
      <c r="AX773" s="3" t="n"/>
      <c r="AY773" s="3" t="n"/>
      <c r="AZ773" s="3" t="n"/>
      <c r="BA773" s="3" t="n"/>
      <c r="BB773" s="3" t="n"/>
      <c r="BC773" s="3" t="n"/>
      <c r="BD773" s="3" t="n"/>
      <c r="BE773" s="3" t="n"/>
      <c r="BF773" s="3" t="n"/>
      <c r="BG773" s="3" t="n"/>
      <c r="BH773" s="3" t="n"/>
      <c r="BI773" s="3" t="n"/>
      <c r="BJ773" s="3" t="n"/>
      <c r="BK773" s="3" t="n"/>
      <c r="BL773" s="3" t="n"/>
      <c r="BM773" s="3" t="n"/>
      <c r="BN773" s="3" t="n"/>
    </row>
    <row r="774" ht="12" customHeight="1">
      <c r="B774" s="2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4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7" t="n"/>
      <c r="AW774" s="3" t="n"/>
      <c r="AX774" s="3" t="n"/>
      <c r="AY774" s="3" t="n"/>
      <c r="AZ774" s="3" t="n"/>
      <c r="BA774" s="3" t="n"/>
      <c r="BB774" s="3" t="n"/>
      <c r="BC774" s="3" t="n"/>
      <c r="BD774" s="3" t="n"/>
      <c r="BE774" s="3" t="n"/>
      <c r="BF774" s="3" t="n"/>
      <c r="BG774" s="3" t="n"/>
      <c r="BH774" s="3" t="n"/>
      <c r="BI774" s="3" t="n"/>
      <c r="BJ774" s="3" t="n"/>
      <c r="BK774" s="3" t="n"/>
      <c r="BL774" s="3" t="n"/>
      <c r="BM774" s="3" t="n"/>
      <c r="BN774" s="3" t="n"/>
    </row>
    <row r="775" ht="12" customHeight="1">
      <c r="B775" s="2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4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3" t="n"/>
      <c r="AT775" s="3" t="n"/>
      <c r="AU775" s="3" t="n"/>
      <c r="AV775" s="7" t="n"/>
      <c r="AW775" s="3" t="n"/>
      <c r="AX775" s="3" t="n"/>
      <c r="AY775" s="3" t="n"/>
      <c r="AZ775" s="3" t="n"/>
      <c r="BA775" s="3" t="n"/>
      <c r="BB775" s="3" t="n"/>
      <c r="BC775" s="3" t="n"/>
      <c r="BD775" s="3" t="n"/>
      <c r="BE775" s="3" t="n"/>
      <c r="BF775" s="3" t="n"/>
      <c r="BG775" s="3" t="n"/>
      <c r="BH775" s="3" t="n"/>
      <c r="BI775" s="3" t="n"/>
      <c r="BJ775" s="3" t="n"/>
      <c r="BK775" s="3" t="n"/>
      <c r="BL775" s="3" t="n"/>
      <c r="BM775" s="3" t="n"/>
      <c r="BN775" s="3" t="n"/>
    </row>
    <row r="776" ht="12" customHeight="1">
      <c r="B776" s="2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4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7" t="n"/>
      <c r="AW776" s="3" t="n"/>
      <c r="AX776" s="3" t="n"/>
      <c r="AY776" s="3" t="n"/>
      <c r="AZ776" s="3" t="n"/>
      <c r="BA776" s="3" t="n"/>
      <c r="BB776" s="3" t="n"/>
      <c r="BC776" s="3" t="n"/>
      <c r="BD776" s="3" t="n"/>
      <c r="BE776" s="3" t="n"/>
      <c r="BF776" s="3" t="n"/>
      <c r="BG776" s="3" t="n"/>
      <c r="BH776" s="3" t="n"/>
      <c r="BI776" s="3" t="n"/>
      <c r="BJ776" s="3" t="n"/>
      <c r="BK776" s="3" t="n"/>
      <c r="BL776" s="3" t="n"/>
      <c r="BM776" s="3" t="n"/>
      <c r="BN776" s="3" t="n"/>
    </row>
    <row r="777" ht="12" customHeight="1">
      <c r="B777" s="2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4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3" t="n"/>
      <c r="AT777" s="3" t="n"/>
      <c r="AU777" s="3" t="n"/>
      <c r="AV777" s="7" t="n"/>
      <c r="AW777" s="3" t="n"/>
      <c r="AX777" s="3" t="n"/>
      <c r="AY777" s="3" t="n"/>
      <c r="AZ777" s="3" t="n"/>
      <c r="BA777" s="3" t="n"/>
      <c r="BB777" s="3" t="n"/>
      <c r="BC777" s="3" t="n"/>
      <c r="BD777" s="3" t="n"/>
      <c r="BE777" s="3" t="n"/>
      <c r="BF777" s="3" t="n"/>
      <c r="BG777" s="3" t="n"/>
      <c r="BH777" s="3" t="n"/>
      <c r="BI777" s="3" t="n"/>
      <c r="BJ777" s="3" t="n"/>
      <c r="BK777" s="3" t="n"/>
      <c r="BL777" s="3" t="n"/>
      <c r="BM777" s="3" t="n"/>
      <c r="BN777" s="3" t="n"/>
    </row>
    <row r="778" ht="12" customHeight="1">
      <c r="B778" s="2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4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7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</row>
    <row r="779" ht="12" customHeight="1">
      <c r="B779" s="2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4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3" t="n"/>
      <c r="AT779" s="3" t="n"/>
      <c r="AU779" s="3" t="n"/>
      <c r="AV779" s="7" t="n"/>
      <c r="AW779" s="3" t="n"/>
      <c r="AX779" s="3" t="n"/>
      <c r="AY779" s="3" t="n"/>
      <c r="AZ779" s="3" t="n"/>
      <c r="BA779" s="3" t="n"/>
      <c r="BB779" s="3" t="n"/>
      <c r="BC779" s="3" t="n"/>
      <c r="BD779" s="3" t="n"/>
      <c r="BE779" s="3" t="n"/>
      <c r="BF779" s="3" t="n"/>
      <c r="BG779" s="3" t="n"/>
      <c r="BH779" s="3" t="n"/>
      <c r="BI779" s="3" t="n"/>
      <c r="BJ779" s="3" t="n"/>
      <c r="BK779" s="3" t="n"/>
      <c r="BL779" s="3" t="n"/>
      <c r="BM779" s="3" t="n"/>
      <c r="BN779" s="3" t="n"/>
    </row>
    <row r="780" ht="12" customHeight="1">
      <c r="B780" s="2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4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7" t="n"/>
      <c r="AW780" s="3" t="n"/>
      <c r="AX780" s="3" t="n"/>
      <c r="AY780" s="3" t="n"/>
      <c r="AZ780" s="3" t="n"/>
      <c r="BA780" s="3" t="n"/>
      <c r="BB780" s="3" t="n"/>
      <c r="BC780" s="3" t="n"/>
      <c r="BD780" s="3" t="n"/>
      <c r="BE780" s="3" t="n"/>
      <c r="BF780" s="3" t="n"/>
      <c r="BG780" s="3" t="n"/>
      <c r="BH780" s="3" t="n"/>
      <c r="BI780" s="3" t="n"/>
      <c r="BJ780" s="3" t="n"/>
      <c r="BK780" s="3" t="n"/>
      <c r="BL780" s="3" t="n"/>
      <c r="BM780" s="3" t="n"/>
      <c r="BN780" s="3" t="n"/>
    </row>
    <row r="781" ht="12" customHeight="1">
      <c r="B781" s="2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4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3" t="n"/>
      <c r="AT781" s="3" t="n"/>
      <c r="AU781" s="3" t="n"/>
      <c r="AV781" s="7" t="n"/>
      <c r="AW781" s="3" t="n"/>
      <c r="AX781" s="3" t="n"/>
      <c r="AY781" s="3" t="n"/>
      <c r="AZ781" s="3" t="n"/>
      <c r="BA781" s="3" t="n"/>
      <c r="BB781" s="3" t="n"/>
      <c r="BC781" s="3" t="n"/>
      <c r="BD781" s="3" t="n"/>
      <c r="BE781" s="3" t="n"/>
      <c r="BF781" s="3" t="n"/>
      <c r="BG781" s="3" t="n"/>
      <c r="BH781" s="3" t="n"/>
      <c r="BI781" s="3" t="n"/>
      <c r="BJ781" s="3" t="n"/>
      <c r="BK781" s="3" t="n"/>
      <c r="BL781" s="3" t="n"/>
      <c r="BM781" s="3" t="n"/>
      <c r="BN781" s="3" t="n"/>
    </row>
    <row r="782" ht="12" customHeight="1">
      <c r="B782" s="2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4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7" t="n"/>
      <c r="AW782" s="3" t="n"/>
      <c r="AX782" s="3" t="n"/>
      <c r="AY782" s="3" t="n"/>
      <c r="AZ782" s="3" t="n"/>
      <c r="BA782" s="3" t="n"/>
      <c r="BB782" s="3" t="n"/>
      <c r="BC782" s="3" t="n"/>
      <c r="BD782" s="3" t="n"/>
      <c r="BE782" s="3" t="n"/>
      <c r="BF782" s="3" t="n"/>
      <c r="BG782" s="3" t="n"/>
      <c r="BH782" s="3" t="n"/>
      <c r="BI782" s="3" t="n"/>
      <c r="BJ782" s="3" t="n"/>
      <c r="BK782" s="3" t="n"/>
      <c r="BL782" s="3" t="n"/>
      <c r="BM782" s="3" t="n"/>
      <c r="BN782" s="3" t="n"/>
    </row>
    <row r="783" ht="12" customHeight="1">
      <c r="B783" s="2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4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3" t="n"/>
      <c r="AT783" s="3" t="n"/>
      <c r="AU783" s="3" t="n"/>
      <c r="AV783" s="7" t="n"/>
      <c r="AW783" s="3" t="n"/>
      <c r="AX783" s="3" t="n"/>
      <c r="AY783" s="3" t="n"/>
      <c r="AZ783" s="3" t="n"/>
      <c r="BA783" s="3" t="n"/>
      <c r="BB783" s="3" t="n"/>
      <c r="BC783" s="3" t="n"/>
      <c r="BD783" s="3" t="n"/>
      <c r="BE783" s="3" t="n"/>
      <c r="BF783" s="3" t="n"/>
      <c r="BG783" s="3" t="n"/>
      <c r="BH783" s="3" t="n"/>
      <c r="BI783" s="3" t="n"/>
      <c r="BJ783" s="3" t="n"/>
      <c r="BK783" s="3" t="n"/>
      <c r="BL783" s="3" t="n"/>
      <c r="BM783" s="3" t="n"/>
      <c r="BN783" s="3" t="n"/>
    </row>
    <row r="784" ht="12" customHeight="1">
      <c r="B784" s="2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4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7" t="n"/>
      <c r="AW784" s="3" t="n"/>
      <c r="AX784" s="3" t="n"/>
      <c r="AY784" s="3" t="n"/>
      <c r="AZ784" s="3" t="n"/>
      <c r="BA784" s="3" t="n"/>
      <c r="BB784" s="3" t="n"/>
      <c r="BC784" s="3" t="n"/>
      <c r="BD784" s="3" t="n"/>
      <c r="BE784" s="3" t="n"/>
      <c r="BF784" s="3" t="n"/>
      <c r="BG784" s="3" t="n"/>
      <c r="BH784" s="3" t="n"/>
      <c r="BI784" s="3" t="n"/>
      <c r="BJ784" s="3" t="n"/>
      <c r="BK784" s="3" t="n"/>
      <c r="BL784" s="3" t="n"/>
      <c r="BM784" s="3" t="n"/>
      <c r="BN784" s="3" t="n"/>
    </row>
    <row r="785" ht="12" customHeight="1">
      <c r="B785" s="2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4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  <c r="AQ785" s="3" t="n"/>
      <c r="AR785" s="3" t="n"/>
      <c r="AS785" s="3" t="n"/>
      <c r="AT785" s="3" t="n"/>
      <c r="AU785" s="3" t="n"/>
      <c r="AV785" s="7" t="n"/>
      <c r="AW785" s="3" t="n"/>
      <c r="AX785" s="3" t="n"/>
      <c r="AY785" s="3" t="n"/>
      <c r="AZ785" s="3" t="n"/>
      <c r="BA785" s="3" t="n"/>
      <c r="BB785" s="3" t="n"/>
      <c r="BC785" s="3" t="n"/>
      <c r="BD785" s="3" t="n"/>
      <c r="BE785" s="3" t="n"/>
      <c r="BF785" s="3" t="n"/>
      <c r="BG785" s="3" t="n"/>
      <c r="BH785" s="3" t="n"/>
      <c r="BI785" s="3" t="n"/>
      <c r="BJ785" s="3" t="n"/>
      <c r="BK785" s="3" t="n"/>
      <c r="BL785" s="3" t="n"/>
      <c r="BM785" s="3" t="n"/>
      <c r="BN785" s="3" t="n"/>
    </row>
    <row r="786" ht="12" customHeight="1">
      <c r="B786" s="2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4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7" t="n"/>
      <c r="AW786" s="3" t="n"/>
      <c r="AX786" s="3" t="n"/>
      <c r="AY786" s="3" t="n"/>
      <c r="AZ786" s="3" t="n"/>
      <c r="BA786" s="3" t="n"/>
      <c r="BB786" s="3" t="n"/>
      <c r="BC786" s="3" t="n"/>
      <c r="BD786" s="3" t="n"/>
      <c r="BE786" s="3" t="n"/>
      <c r="BF786" s="3" t="n"/>
      <c r="BG786" s="3" t="n"/>
      <c r="BH786" s="3" t="n"/>
      <c r="BI786" s="3" t="n"/>
      <c r="BJ786" s="3" t="n"/>
      <c r="BK786" s="3" t="n"/>
      <c r="BL786" s="3" t="n"/>
      <c r="BM786" s="3" t="n"/>
      <c r="BN786" s="3" t="n"/>
    </row>
    <row r="787" ht="12" customHeight="1">
      <c r="B787" s="2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4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  <c r="AQ787" s="3" t="n"/>
      <c r="AR787" s="3" t="n"/>
      <c r="AS787" s="3" t="n"/>
      <c r="AT787" s="3" t="n"/>
      <c r="AU787" s="3" t="n"/>
      <c r="AV787" s="7" t="n"/>
      <c r="AW787" s="3" t="n"/>
      <c r="AX787" s="3" t="n"/>
      <c r="AY787" s="3" t="n"/>
      <c r="AZ787" s="3" t="n"/>
      <c r="BA787" s="3" t="n"/>
      <c r="BB787" s="3" t="n"/>
      <c r="BC787" s="3" t="n"/>
      <c r="BD787" s="3" t="n"/>
      <c r="BE787" s="3" t="n"/>
      <c r="BF787" s="3" t="n"/>
      <c r="BG787" s="3" t="n"/>
      <c r="BH787" s="3" t="n"/>
      <c r="BI787" s="3" t="n"/>
      <c r="BJ787" s="3" t="n"/>
      <c r="BK787" s="3" t="n"/>
      <c r="BL787" s="3" t="n"/>
      <c r="BM787" s="3" t="n"/>
      <c r="BN787" s="3" t="n"/>
    </row>
    <row r="788" ht="12" customHeight="1">
      <c r="B788" s="2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4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7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N788" s="3" t="n"/>
    </row>
    <row r="789" ht="12" customHeight="1">
      <c r="B789" s="2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4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7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N789" s="3" t="n"/>
    </row>
    <row r="790" ht="12" customHeight="1">
      <c r="B790" s="2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4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7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</row>
    <row r="791" ht="12" customHeight="1">
      <c r="B791" s="2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4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7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N791" s="3" t="n"/>
    </row>
    <row r="792" ht="12" customHeight="1">
      <c r="B792" s="2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4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7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N792" s="3" t="n"/>
    </row>
    <row r="793" ht="12" customHeight="1">
      <c r="B793" s="2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4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7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N793" s="3" t="n"/>
    </row>
    <row r="794" ht="12" customHeight="1">
      <c r="B794" s="2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4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7" t="n"/>
      <c r="AW794" s="3" t="n"/>
      <c r="AX794" s="3" t="n"/>
      <c r="AY794" s="3" t="n"/>
      <c r="AZ794" s="3" t="n"/>
      <c r="BA794" s="3" t="n"/>
      <c r="BB794" s="3" t="n"/>
      <c r="BC794" s="3" t="n"/>
      <c r="BD794" s="3" t="n"/>
      <c r="BE794" s="3" t="n"/>
      <c r="BF794" s="3" t="n"/>
      <c r="BG794" s="3" t="n"/>
      <c r="BH794" s="3" t="n"/>
      <c r="BI794" s="3" t="n"/>
      <c r="BJ794" s="3" t="n"/>
      <c r="BK794" s="3" t="n"/>
      <c r="BL794" s="3" t="n"/>
      <c r="BM794" s="3" t="n"/>
      <c r="BN794" s="3" t="n"/>
    </row>
    <row r="795" ht="12" customHeight="1">
      <c r="B795" s="2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4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  <c r="AQ795" s="3" t="n"/>
      <c r="AR795" s="3" t="n"/>
      <c r="AS795" s="3" t="n"/>
      <c r="AT795" s="3" t="n"/>
      <c r="AU795" s="3" t="n"/>
      <c r="AV795" s="7" t="n"/>
      <c r="AW795" s="3" t="n"/>
      <c r="AX795" s="3" t="n"/>
      <c r="AY795" s="3" t="n"/>
      <c r="AZ795" s="3" t="n"/>
      <c r="BA795" s="3" t="n"/>
      <c r="BB795" s="3" t="n"/>
      <c r="BC795" s="3" t="n"/>
      <c r="BD795" s="3" t="n"/>
      <c r="BE795" s="3" t="n"/>
      <c r="BF795" s="3" t="n"/>
      <c r="BG795" s="3" t="n"/>
      <c r="BH795" s="3" t="n"/>
      <c r="BI795" s="3" t="n"/>
      <c r="BJ795" s="3" t="n"/>
      <c r="BK795" s="3" t="n"/>
      <c r="BL795" s="3" t="n"/>
      <c r="BM795" s="3" t="n"/>
      <c r="BN795" s="3" t="n"/>
    </row>
    <row r="796" ht="12" customHeight="1">
      <c r="B796" s="2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4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7" t="n"/>
      <c r="AW796" s="3" t="n"/>
      <c r="AX796" s="3" t="n"/>
      <c r="AY796" s="3" t="n"/>
      <c r="AZ796" s="3" t="n"/>
      <c r="BA796" s="3" t="n"/>
      <c r="BB796" s="3" t="n"/>
      <c r="BC796" s="3" t="n"/>
      <c r="BD796" s="3" t="n"/>
      <c r="BE796" s="3" t="n"/>
      <c r="BF796" s="3" t="n"/>
      <c r="BG796" s="3" t="n"/>
      <c r="BH796" s="3" t="n"/>
      <c r="BI796" s="3" t="n"/>
      <c r="BJ796" s="3" t="n"/>
      <c r="BK796" s="3" t="n"/>
      <c r="BL796" s="3" t="n"/>
      <c r="BM796" s="3" t="n"/>
      <c r="BN796" s="3" t="n"/>
    </row>
    <row r="797" ht="12" customHeight="1">
      <c r="B797" s="2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4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  <c r="AQ797" s="3" t="n"/>
      <c r="AR797" s="3" t="n"/>
      <c r="AS797" s="3" t="n"/>
      <c r="AT797" s="3" t="n"/>
      <c r="AU797" s="3" t="n"/>
      <c r="AV797" s="7" t="n"/>
      <c r="AW797" s="3" t="n"/>
      <c r="AX797" s="3" t="n"/>
      <c r="AY797" s="3" t="n"/>
      <c r="AZ797" s="3" t="n"/>
      <c r="BA797" s="3" t="n"/>
      <c r="BB797" s="3" t="n"/>
      <c r="BC797" s="3" t="n"/>
      <c r="BD797" s="3" t="n"/>
      <c r="BE797" s="3" t="n"/>
      <c r="BF797" s="3" t="n"/>
      <c r="BG797" s="3" t="n"/>
      <c r="BH797" s="3" t="n"/>
      <c r="BI797" s="3" t="n"/>
      <c r="BJ797" s="3" t="n"/>
      <c r="BK797" s="3" t="n"/>
      <c r="BL797" s="3" t="n"/>
      <c r="BM797" s="3" t="n"/>
      <c r="BN797" s="3" t="n"/>
    </row>
    <row r="798" ht="12" customHeight="1">
      <c r="B798" s="2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4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7" t="n"/>
      <c r="AW798" s="3" t="n"/>
      <c r="AX798" s="3" t="n"/>
      <c r="AY798" s="3" t="n"/>
      <c r="AZ798" s="3" t="n"/>
      <c r="BA798" s="3" t="n"/>
      <c r="BB798" s="3" t="n"/>
      <c r="BC798" s="3" t="n"/>
      <c r="BD798" s="3" t="n"/>
      <c r="BE798" s="3" t="n"/>
      <c r="BF798" s="3" t="n"/>
      <c r="BG798" s="3" t="n"/>
      <c r="BH798" s="3" t="n"/>
      <c r="BI798" s="3" t="n"/>
      <c r="BJ798" s="3" t="n"/>
      <c r="BK798" s="3" t="n"/>
      <c r="BL798" s="3" t="n"/>
      <c r="BM798" s="3" t="n"/>
      <c r="BN798" s="3" t="n"/>
    </row>
    <row r="799" ht="12" customHeight="1">
      <c r="B799" s="2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4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  <c r="AQ799" s="3" t="n"/>
      <c r="AR799" s="3" t="n"/>
      <c r="AS799" s="3" t="n"/>
      <c r="AT799" s="3" t="n"/>
      <c r="AU799" s="3" t="n"/>
      <c r="AV799" s="7" t="n"/>
      <c r="AW799" s="3" t="n"/>
      <c r="AX799" s="3" t="n"/>
      <c r="AY799" s="3" t="n"/>
      <c r="AZ799" s="3" t="n"/>
      <c r="BA799" s="3" t="n"/>
      <c r="BB799" s="3" t="n"/>
      <c r="BC799" s="3" t="n"/>
      <c r="BD799" s="3" t="n"/>
      <c r="BE799" s="3" t="n"/>
      <c r="BF799" s="3" t="n"/>
      <c r="BG799" s="3" t="n"/>
      <c r="BH799" s="3" t="n"/>
      <c r="BI799" s="3" t="n"/>
      <c r="BJ799" s="3" t="n"/>
      <c r="BK799" s="3" t="n"/>
      <c r="BL799" s="3" t="n"/>
      <c r="BM799" s="3" t="n"/>
      <c r="BN799" s="3" t="n"/>
    </row>
    <row r="800" ht="12" customHeight="1">
      <c r="B800" s="2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4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7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</row>
    <row r="801" ht="12" customHeight="1">
      <c r="B801" s="2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4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  <c r="AQ801" s="3" t="n"/>
      <c r="AR801" s="3" t="n"/>
      <c r="AS801" s="3" t="n"/>
      <c r="AT801" s="3" t="n"/>
      <c r="AU801" s="3" t="n"/>
      <c r="AV801" s="7" t="n"/>
      <c r="AW801" s="3" t="n"/>
      <c r="AX801" s="3" t="n"/>
      <c r="AY801" s="3" t="n"/>
      <c r="AZ801" s="3" t="n"/>
      <c r="BA801" s="3" t="n"/>
      <c r="BB801" s="3" t="n"/>
      <c r="BC801" s="3" t="n"/>
      <c r="BD801" s="3" t="n"/>
      <c r="BE801" s="3" t="n"/>
      <c r="BF801" s="3" t="n"/>
      <c r="BG801" s="3" t="n"/>
      <c r="BH801" s="3" t="n"/>
      <c r="BI801" s="3" t="n"/>
      <c r="BJ801" s="3" t="n"/>
      <c r="BK801" s="3" t="n"/>
      <c r="BL801" s="3" t="n"/>
      <c r="BM801" s="3" t="n"/>
      <c r="BN801" s="3" t="n"/>
    </row>
    <row r="802" ht="12" customHeight="1">
      <c r="B802" s="2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4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7" t="n"/>
      <c r="AW802" s="3" t="n"/>
      <c r="AX802" s="3" t="n"/>
      <c r="AY802" s="3" t="n"/>
      <c r="AZ802" s="3" t="n"/>
      <c r="BA802" s="3" t="n"/>
      <c r="BB802" s="3" t="n"/>
      <c r="BC802" s="3" t="n"/>
      <c r="BD802" s="3" t="n"/>
      <c r="BE802" s="3" t="n"/>
      <c r="BF802" s="3" t="n"/>
      <c r="BG802" s="3" t="n"/>
      <c r="BH802" s="3" t="n"/>
      <c r="BI802" s="3" t="n"/>
      <c r="BJ802" s="3" t="n"/>
      <c r="BK802" s="3" t="n"/>
      <c r="BL802" s="3" t="n"/>
      <c r="BM802" s="3" t="n"/>
      <c r="BN802" s="3" t="n"/>
    </row>
    <row r="803" ht="12" customHeight="1">
      <c r="B803" s="2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4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  <c r="AQ803" s="3" t="n"/>
      <c r="AR803" s="3" t="n"/>
      <c r="AS803" s="3" t="n"/>
      <c r="AT803" s="3" t="n"/>
      <c r="AU803" s="3" t="n"/>
      <c r="AV803" s="7" t="n"/>
      <c r="AW803" s="3" t="n"/>
      <c r="AX803" s="3" t="n"/>
      <c r="AY803" s="3" t="n"/>
      <c r="AZ803" s="3" t="n"/>
      <c r="BA803" s="3" t="n"/>
      <c r="BB803" s="3" t="n"/>
      <c r="BC803" s="3" t="n"/>
      <c r="BD803" s="3" t="n"/>
      <c r="BE803" s="3" t="n"/>
      <c r="BF803" s="3" t="n"/>
      <c r="BG803" s="3" t="n"/>
      <c r="BH803" s="3" t="n"/>
      <c r="BI803" s="3" t="n"/>
      <c r="BJ803" s="3" t="n"/>
      <c r="BK803" s="3" t="n"/>
      <c r="BL803" s="3" t="n"/>
      <c r="BM803" s="3" t="n"/>
      <c r="BN803" s="3" t="n"/>
    </row>
    <row r="804" ht="12" customHeight="1">
      <c r="B804" s="2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4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7" t="n"/>
      <c r="AW804" s="3" t="n"/>
      <c r="AX804" s="3" t="n"/>
      <c r="AY804" s="3" t="n"/>
      <c r="AZ804" s="3" t="n"/>
      <c r="BA804" s="3" t="n"/>
      <c r="BB804" s="3" t="n"/>
      <c r="BC804" s="3" t="n"/>
      <c r="BD804" s="3" t="n"/>
      <c r="BE804" s="3" t="n"/>
      <c r="BF804" s="3" t="n"/>
      <c r="BG804" s="3" t="n"/>
      <c r="BH804" s="3" t="n"/>
      <c r="BI804" s="3" t="n"/>
      <c r="BJ804" s="3" t="n"/>
      <c r="BK804" s="3" t="n"/>
      <c r="BL804" s="3" t="n"/>
      <c r="BM804" s="3" t="n"/>
      <c r="BN804" s="3" t="n"/>
    </row>
    <row r="805" ht="12" customHeight="1">
      <c r="B805" s="2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4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3" t="n"/>
      <c r="AT805" s="3" t="n"/>
      <c r="AU805" s="3" t="n"/>
      <c r="AV805" s="7" t="n"/>
      <c r="AW805" s="3" t="n"/>
      <c r="AX805" s="3" t="n"/>
      <c r="AY805" s="3" t="n"/>
      <c r="AZ805" s="3" t="n"/>
      <c r="BA805" s="3" t="n"/>
      <c r="BB805" s="3" t="n"/>
      <c r="BC805" s="3" t="n"/>
      <c r="BD805" s="3" t="n"/>
      <c r="BE805" s="3" t="n"/>
      <c r="BF805" s="3" t="n"/>
      <c r="BG805" s="3" t="n"/>
      <c r="BH805" s="3" t="n"/>
      <c r="BI805" s="3" t="n"/>
      <c r="BJ805" s="3" t="n"/>
      <c r="BK805" s="3" t="n"/>
      <c r="BL805" s="3" t="n"/>
      <c r="BM805" s="3" t="n"/>
      <c r="BN805" s="3" t="n"/>
    </row>
    <row r="806" ht="12" customHeight="1">
      <c r="B806" s="2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4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7" t="n"/>
      <c r="AW806" s="3" t="n"/>
      <c r="AX806" s="3" t="n"/>
      <c r="AY806" s="3" t="n"/>
      <c r="AZ806" s="3" t="n"/>
      <c r="BA806" s="3" t="n"/>
      <c r="BB806" s="3" t="n"/>
      <c r="BC806" s="3" t="n"/>
      <c r="BD806" s="3" t="n"/>
      <c r="BE806" s="3" t="n"/>
      <c r="BF806" s="3" t="n"/>
      <c r="BG806" s="3" t="n"/>
      <c r="BH806" s="3" t="n"/>
      <c r="BI806" s="3" t="n"/>
      <c r="BJ806" s="3" t="n"/>
      <c r="BK806" s="3" t="n"/>
      <c r="BL806" s="3" t="n"/>
      <c r="BM806" s="3" t="n"/>
      <c r="BN806" s="3" t="n"/>
    </row>
    <row r="807" ht="12" customHeight="1">
      <c r="B807" s="2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4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  <c r="AQ807" s="3" t="n"/>
      <c r="AR807" s="3" t="n"/>
      <c r="AS807" s="3" t="n"/>
      <c r="AT807" s="3" t="n"/>
      <c r="AU807" s="3" t="n"/>
      <c r="AV807" s="7" t="n"/>
      <c r="AW807" s="3" t="n"/>
      <c r="AX807" s="3" t="n"/>
      <c r="AY807" s="3" t="n"/>
      <c r="AZ807" s="3" t="n"/>
      <c r="BA807" s="3" t="n"/>
      <c r="BB807" s="3" t="n"/>
      <c r="BC807" s="3" t="n"/>
      <c r="BD807" s="3" t="n"/>
      <c r="BE807" s="3" t="n"/>
      <c r="BF807" s="3" t="n"/>
      <c r="BG807" s="3" t="n"/>
      <c r="BH807" s="3" t="n"/>
      <c r="BI807" s="3" t="n"/>
      <c r="BJ807" s="3" t="n"/>
      <c r="BK807" s="3" t="n"/>
      <c r="BL807" s="3" t="n"/>
      <c r="BM807" s="3" t="n"/>
      <c r="BN807" s="3" t="n"/>
    </row>
    <row r="808" ht="12" customHeight="1">
      <c r="B808" s="2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4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7" t="n"/>
      <c r="AW808" s="3" t="n"/>
      <c r="AX808" s="3" t="n"/>
      <c r="AY808" s="3" t="n"/>
      <c r="AZ808" s="3" t="n"/>
      <c r="BA808" s="3" t="n"/>
      <c r="BB808" s="3" t="n"/>
      <c r="BC808" s="3" t="n"/>
      <c r="BD808" s="3" t="n"/>
      <c r="BE808" s="3" t="n"/>
      <c r="BF808" s="3" t="n"/>
      <c r="BG808" s="3" t="n"/>
      <c r="BH808" s="3" t="n"/>
      <c r="BI808" s="3" t="n"/>
      <c r="BJ808" s="3" t="n"/>
      <c r="BK808" s="3" t="n"/>
      <c r="BL808" s="3" t="n"/>
      <c r="BM808" s="3" t="n"/>
      <c r="BN808" s="3" t="n"/>
    </row>
    <row r="809" ht="12" customHeight="1">
      <c r="B809" s="2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4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  <c r="AQ809" s="3" t="n"/>
      <c r="AR809" s="3" t="n"/>
      <c r="AS809" s="3" t="n"/>
      <c r="AT809" s="3" t="n"/>
      <c r="AU809" s="3" t="n"/>
      <c r="AV809" s="7" t="n"/>
      <c r="AW809" s="3" t="n"/>
      <c r="AX809" s="3" t="n"/>
      <c r="AY809" s="3" t="n"/>
      <c r="AZ809" s="3" t="n"/>
      <c r="BA809" s="3" t="n"/>
      <c r="BB809" s="3" t="n"/>
      <c r="BC809" s="3" t="n"/>
      <c r="BD809" s="3" t="n"/>
      <c r="BE809" s="3" t="n"/>
      <c r="BF809" s="3" t="n"/>
      <c r="BG809" s="3" t="n"/>
      <c r="BH809" s="3" t="n"/>
      <c r="BI809" s="3" t="n"/>
      <c r="BJ809" s="3" t="n"/>
      <c r="BK809" s="3" t="n"/>
      <c r="BL809" s="3" t="n"/>
      <c r="BM809" s="3" t="n"/>
      <c r="BN809" s="3" t="n"/>
    </row>
    <row r="810" ht="12" customHeight="1">
      <c r="B810" s="2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4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7" t="n"/>
      <c r="AW810" s="3" t="n"/>
      <c r="AX810" s="3" t="n"/>
      <c r="AY810" s="3" t="n"/>
      <c r="AZ810" s="3" t="n"/>
      <c r="BA810" s="3" t="n"/>
      <c r="BB810" s="3" t="n"/>
      <c r="BC810" s="3" t="n"/>
      <c r="BD810" s="3" t="n"/>
      <c r="BE810" s="3" t="n"/>
      <c r="BF810" s="3" t="n"/>
      <c r="BG810" s="3" t="n"/>
      <c r="BH810" s="3" t="n"/>
      <c r="BI810" s="3" t="n"/>
      <c r="BJ810" s="3" t="n"/>
      <c r="BK810" s="3" t="n"/>
      <c r="BL810" s="3" t="n"/>
      <c r="BM810" s="3" t="n"/>
      <c r="BN810" s="3" t="n"/>
    </row>
    <row r="811" ht="12" customHeight="1">
      <c r="B811" s="2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4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  <c r="AQ811" s="3" t="n"/>
      <c r="AR811" s="3" t="n"/>
      <c r="AS811" s="3" t="n"/>
      <c r="AT811" s="3" t="n"/>
      <c r="AU811" s="3" t="n"/>
      <c r="AV811" s="7" t="n"/>
      <c r="AW811" s="3" t="n"/>
      <c r="AX811" s="3" t="n"/>
      <c r="AY811" s="3" t="n"/>
      <c r="AZ811" s="3" t="n"/>
      <c r="BA811" s="3" t="n"/>
      <c r="BB811" s="3" t="n"/>
      <c r="BC811" s="3" t="n"/>
      <c r="BD811" s="3" t="n"/>
      <c r="BE811" s="3" t="n"/>
      <c r="BF811" s="3" t="n"/>
      <c r="BG811" s="3" t="n"/>
      <c r="BH811" s="3" t="n"/>
      <c r="BI811" s="3" t="n"/>
      <c r="BJ811" s="3" t="n"/>
      <c r="BK811" s="3" t="n"/>
      <c r="BL811" s="3" t="n"/>
      <c r="BM811" s="3" t="n"/>
      <c r="BN811" s="3" t="n"/>
    </row>
    <row r="812" ht="12" customHeight="1">
      <c r="B812" s="2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4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7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</row>
    <row r="813" ht="12" customHeight="1">
      <c r="B813" s="2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4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7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N813" s="3" t="n"/>
    </row>
    <row r="814" ht="12" customHeight="1">
      <c r="B814" s="2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4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7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</row>
    <row r="815" ht="12" customHeight="1">
      <c r="B815" s="2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4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7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N815" s="3" t="n"/>
    </row>
    <row r="816" ht="12" customHeight="1">
      <c r="B816" s="2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4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7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n"/>
      <c r="BG816" s="3" t="n"/>
      <c r="BH816" s="3" t="n"/>
      <c r="BI816" s="3" t="n"/>
      <c r="BJ816" s="3" t="n"/>
      <c r="BK816" s="3" t="n"/>
      <c r="BL816" s="3" t="n"/>
      <c r="BM816" s="3" t="n"/>
      <c r="BN816" s="3" t="n"/>
    </row>
    <row r="817" ht="12" customHeight="1">
      <c r="B817" s="2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4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7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3" t="n"/>
      <c r="BG817" s="3" t="n"/>
      <c r="BH817" s="3" t="n"/>
      <c r="BI817" s="3" t="n"/>
      <c r="BJ817" s="3" t="n"/>
      <c r="BK817" s="3" t="n"/>
      <c r="BL817" s="3" t="n"/>
      <c r="BM817" s="3" t="n"/>
      <c r="BN817" s="3" t="n"/>
    </row>
    <row r="818" ht="12" customHeight="1">
      <c r="B818" s="2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4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7" t="n"/>
      <c r="AW818" s="3" t="n"/>
      <c r="AX818" s="3" t="n"/>
      <c r="AY818" s="3" t="n"/>
      <c r="AZ818" s="3" t="n"/>
      <c r="BA818" s="3" t="n"/>
      <c r="BB818" s="3" t="n"/>
      <c r="BC818" s="3" t="n"/>
      <c r="BD818" s="3" t="n"/>
      <c r="BE818" s="3" t="n"/>
      <c r="BF818" s="3" t="n"/>
      <c r="BG818" s="3" t="n"/>
      <c r="BH818" s="3" t="n"/>
      <c r="BI818" s="3" t="n"/>
      <c r="BJ818" s="3" t="n"/>
      <c r="BK818" s="3" t="n"/>
      <c r="BL818" s="3" t="n"/>
      <c r="BM818" s="3" t="n"/>
      <c r="BN818" s="3" t="n"/>
    </row>
    <row r="819" ht="12" customHeight="1">
      <c r="B819" s="2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4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  <c r="AQ819" s="3" t="n"/>
      <c r="AR819" s="3" t="n"/>
      <c r="AS819" s="3" t="n"/>
      <c r="AT819" s="3" t="n"/>
      <c r="AU819" s="3" t="n"/>
      <c r="AV819" s="7" t="n"/>
      <c r="AW819" s="3" t="n"/>
      <c r="AX819" s="3" t="n"/>
      <c r="AY819" s="3" t="n"/>
      <c r="AZ819" s="3" t="n"/>
      <c r="BA819" s="3" t="n"/>
      <c r="BB819" s="3" t="n"/>
      <c r="BC819" s="3" t="n"/>
      <c r="BD819" s="3" t="n"/>
      <c r="BE819" s="3" t="n"/>
      <c r="BF819" s="3" t="n"/>
      <c r="BG819" s="3" t="n"/>
      <c r="BH819" s="3" t="n"/>
      <c r="BI819" s="3" t="n"/>
      <c r="BJ819" s="3" t="n"/>
      <c r="BK819" s="3" t="n"/>
      <c r="BL819" s="3" t="n"/>
      <c r="BM819" s="3" t="n"/>
      <c r="BN819" s="3" t="n"/>
    </row>
    <row r="820" ht="12" customHeight="1">
      <c r="B820" s="2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4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7" t="n"/>
      <c r="AW820" s="3" t="n"/>
      <c r="AX820" s="3" t="n"/>
      <c r="AY820" s="3" t="n"/>
      <c r="AZ820" s="3" t="n"/>
      <c r="BA820" s="3" t="n"/>
      <c r="BB820" s="3" t="n"/>
      <c r="BC820" s="3" t="n"/>
      <c r="BD820" s="3" t="n"/>
      <c r="BE820" s="3" t="n"/>
      <c r="BF820" s="3" t="n"/>
      <c r="BG820" s="3" t="n"/>
      <c r="BH820" s="3" t="n"/>
      <c r="BI820" s="3" t="n"/>
      <c r="BJ820" s="3" t="n"/>
      <c r="BK820" s="3" t="n"/>
      <c r="BL820" s="3" t="n"/>
      <c r="BM820" s="3" t="n"/>
      <c r="BN820" s="3" t="n"/>
    </row>
    <row r="821" ht="12" customHeight="1">
      <c r="B821" s="2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4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  <c r="AQ821" s="3" t="n"/>
      <c r="AR821" s="3" t="n"/>
      <c r="AS821" s="3" t="n"/>
      <c r="AT821" s="3" t="n"/>
      <c r="AU821" s="3" t="n"/>
      <c r="AV821" s="7" t="n"/>
      <c r="AW821" s="3" t="n"/>
      <c r="AX821" s="3" t="n"/>
      <c r="AY821" s="3" t="n"/>
      <c r="AZ821" s="3" t="n"/>
      <c r="BA821" s="3" t="n"/>
      <c r="BB821" s="3" t="n"/>
      <c r="BC821" s="3" t="n"/>
      <c r="BD821" s="3" t="n"/>
      <c r="BE821" s="3" t="n"/>
      <c r="BF821" s="3" t="n"/>
      <c r="BG821" s="3" t="n"/>
      <c r="BH821" s="3" t="n"/>
      <c r="BI821" s="3" t="n"/>
      <c r="BJ821" s="3" t="n"/>
      <c r="BK821" s="3" t="n"/>
      <c r="BL821" s="3" t="n"/>
      <c r="BM821" s="3" t="n"/>
      <c r="BN821" s="3" t="n"/>
    </row>
    <row r="822" ht="12" customHeight="1">
      <c r="B822" s="2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4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7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</row>
    <row r="823" ht="12" customHeight="1">
      <c r="B823" s="2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4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3" t="n"/>
      <c r="AT823" s="3" t="n"/>
      <c r="AU823" s="3" t="n"/>
      <c r="AV823" s="7" t="n"/>
      <c r="AW823" s="3" t="n"/>
      <c r="AX823" s="3" t="n"/>
      <c r="AY823" s="3" t="n"/>
      <c r="AZ823" s="3" t="n"/>
      <c r="BA823" s="3" t="n"/>
      <c r="BB823" s="3" t="n"/>
      <c r="BC823" s="3" t="n"/>
      <c r="BD823" s="3" t="n"/>
      <c r="BE823" s="3" t="n"/>
      <c r="BF823" s="3" t="n"/>
      <c r="BG823" s="3" t="n"/>
      <c r="BH823" s="3" t="n"/>
      <c r="BI823" s="3" t="n"/>
      <c r="BJ823" s="3" t="n"/>
      <c r="BK823" s="3" t="n"/>
      <c r="BL823" s="3" t="n"/>
      <c r="BM823" s="3" t="n"/>
      <c r="BN823" s="3" t="n"/>
    </row>
    <row r="824" ht="12" customHeight="1">
      <c r="B824" s="2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4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7" t="n"/>
      <c r="AW824" s="3" t="n"/>
      <c r="AX824" s="3" t="n"/>
      <c r="AY824" s="3" t="n"/>
      <c r="AZ824" s="3" t="n"/>
      <c r="BA824" s="3" t="n"/>
      <c r="BB824" s="3" t="n"/>
      <c r="BC824" s="3" t="n"/>
      <c r="BD824" s="3" t="n"/>
      <c r="BE824" s="3" t="n"/>
      <c r="BF824" s="3" t="n"/>
      <c r="BG824" s="3" t="n"/>
      <c r="BH824" s="3" t="n"/>
      <c r="BI824" s="3" t="n"/>
      <c r="BJ824" s="3" t="n"/>
      <c r="BK824" s="3" t="n"/>
      <c r="BL824" s="3" t="n"/>
      <c r="BM824" s="3" t="n"/>
      <c r="BN824" s="3" t="n"/>
    </row>
    <row r="825" ht="12" customHeight="1">
      <c r="B825" s="2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4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  <c r="AQ825" s="3" t="n"/>
      <c r="AR825" s="3" t="n"/>
      <c r="AS825" s="3" t="n"/>
      <c r="AT825" s="3" t="n"/>
      <c r="AU825" s="3" t="n"/>
      <c r="AV825" s="7" t="n"/>
      <c r="AW825" s="3" t="n"/>
      <c r="AX825" s="3" t="n"/>
      <c r="AY825" s="3" t="n"/>
      <c r="AZ825" s="3" t="n"/>
      <c r="BA825" s="3" t="n"/>
      <c r="BB825" s="3" t="n"/>
      <c r="BC825" s="3" t="n"/>
      <c r="BD825" s="3" t="n"/>
      <c r="BE825" s="3" t="n"/>
      <c r="BF825" s="3" t="n"/>
      <c r="BG825" s="3" t="n"/>
      <c r="BH825" s="3" t="n"/>
      <c r="BI825" s="3" t="n"/>
      <c r="BJ825" s="3" t="n"/>
      <c r="BK825" s="3" t="n"/>
      <c r="BL825" s="3" t="n"/>
      <c r="BM825" s="3" t="n"/>
      <c r="BN825" s="3" t="n"/>
    </row>
    <row r="826" ht="12" customHeight="1">
      <c r="B826" s="2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4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7" t="n"/>
      <c r="AW826" s="3" t="n"/>
      <c r="AX826" s="3" t="n"/>
      <c r="AY826" s="3" t="n"/>
      <c r="AZ826" s="3" t="n"/>
      <c r="BA826" s="3" t="n"/>
      <c r="BB826" s="3" t="n"/>
      <c r="BC826" s="3" t="n"/>
      <c r="BD826" s="3" t="n"/>
      <c r="BE826" s="3" t="n"/>
      <c r="BF826" s="3" t="n"/>
      <c r="BG826" s="3" t="n"/>
      <c r="BH826" s="3" t="n"/>
      <c r="BI826" s="3" t="n"/>
      <c r="BJ826" s="3" t="n"/>
      <c r="BK826" s="3" t="n"/>
      <c r="BL826" s="3" t="n"/>
      <c r="BM826" s="3" t="n"/>
      <c r="BN826" s="3" t="n"/>
    </row>
    <row r="827" ht="12" customHeight="1">
      <c r="B827" s="2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4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3" t="n"/>
      <c r="AT827" s="3" t="n"/>
      <c r="AU827" s="3" t="n"/>
      <c r="AV827" s="7" t="n"/>
      <c r="AW827" s="3" t="n"/>
      <c r="AX827" s="3" t="n"/>
      <c r="AY827" s="3" t="n"/>
      <c r="AZ827" s="3" t="n"/>
      <c r="BA827" s="3" t="n"/>
      <c r="BB827" s="3" t="n"/>
      <c r="BC827" s="3" t="n"/>
      <c r="BD827" s="3" t="n"/>
      <c r="BE827" s="3" t="n"/>
      <c r="BF827" s="3" t="n"/>
      <c r="BG827" s="3" t="n"/>
      <c r="BH827" s="3" t="n"/>
      <c r="BI827" s="3" t="n"/>
      <c r="BJ827" s="3" t="n"/>
      <c r="BK827" s="3" t="n"/>
      <c r="BL827" s="3" t="n"/>
      <c r="BM827" s="3" t="n"/>
      <c r="BN827" s="3" t="n"/>
    </row>
    <row r="828" ht="12" customHeight="1">
      <c r="B828" s="2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4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7" t="n"/>
      <c r="AW828" s="3" t="n"/>
      <c r="AX828" s="3" t="n"/>
      <c r="AY828" s="3" t="n"/>
      <c r="AZ828" s="3" t="n"/>
      <c r="BA828" s="3" t="n"/>
      <c r="BB828" s="3" t="n"/>
      <c r="BC828" s="3" t="n"/>
      <c r="BD828" s="3" t="n"/>
      <c r="BE828" s="3" t="n"/>
      <c r="BF828" s="3" t="n"/>
      <c r="BG828" s="3" t="n"/>
      <c r="BH828" s="3" t="n"/>
      <c r="BI828" s="3" t="n"/>
      <c r="BJ828" s="3" t="n"/>
      <c r="BK828" s="3" t="n"/>
      <c r="BL828" s="3" t="n"/>
      <c r="BM828" s="3" t="n"/>
      <c r="BN828" s="3" t="n"/>
    </row>
    <row r="829" ht="12" customHeight="1">
      <c r="B829" s="2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4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3" t="n"/>
      <c r="AT829" s="3" t="n"/>
      <c r="AU829" s="3" t="n"/>
      <c r="AV829" s="7" t="n"/>
      <c r="AW829" s="3" t="n"/>
      <c r="AX829" s="3" t="n"/>
      <c r="AY829" s="3" t="n"/>
      <c r="AZ829" s="3" t="n"/>
      <c r="BA829" s="3" t="n"/>
      <c r="BB829" s="3" t="n"/>
      <c r="BC829" s="3" t="n"/>
      <c r="BD829" s="3" t="n"/>
      <c r="BE829" s="3" t="n"/>
      <c r="BF829" s="3" t="n"/>
      <c r="BG829" s="3" t="n"/>
      <c r="BH829" s="3" t="n"/>
      <c r="BI829" s="3" t="n"/>
      <c r="BJ829" s="3" t="n"/>
      <c r="BK829" s="3" t="n"/>
      <c r="BL829" s="3" t="n"/>
      <c r="BM829" s="3" t="n"/>
      <c r="BN829" s="3" t="n"/>
    </row>
    <row r="830" ht="12" customHeight="1">
      <c r="B830" s="2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4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7" t="n"/>
      <c r="AW830" s="3" t="n"/>
      <c r="AX830" s="3" t="n"/>
      <c r="AY830" s="3" t="n"/>
      <c r="AZ830" s="3" t="n"/>
      <c r="BA830" s="3" t="n"/>
      <c r="BB830" s="3" t="n"/>
      <c r="BC830" s="3" t="n"/>
      <c r="BD830" s="3" t="n"/>
      <c r="BE830" s="3" t="n"/>
      <c r="BF830" s="3" t="n"/>
      <c r="BG830" s="3" t="n"/>
      <c r="BH830" s="3" t="n"/>
      <c r="BI830" s="3" t="n"/>
      <c r="BJ830" s="3" t="n"/>
      <c r="BK830" s="3" t="n"/>
      <c r="BL830" s="3" t="n"/>
      <c r="BM830" s="3" t="n"/>
      <c r="BN830" s="3" t="n"/>
    </row>
    <row r="831" ht="12" customHeight="1">
      <c r="B831" s="2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4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3" t="n"/>
      <c r="AT831" s="3" t="n"/>
      <c r="AU831" s="3" t="n"/>
      <c r="AV831" s="7" t="n"/>
      <c r="AW831" s="3" t="n"/>
      <c r="AX831" s="3" t="n"/>
      <c r="AY831" s="3" t="n"/>
      <c r="AZ831" s="3" t="n"/>
      <c r="BA831" s="3" t="n"/>
      <c r="BB831" s="3" t="n"/>
      <c r="BC831" s="3" t="n"/>
      <c r="BD831" s="3" t="n"/>
      <c r="BE831" s="3" t="n"/>
      <c r="BF831" s="3" t="n"/>
      <c r="BG831" s="3" t="n"/>
      <c r="BH831" s="3" t="n"/>
      <c r="BI831" s="3" t="n"/>
      <c r="BJ831" s="3" t="n"/>
      <c r="BK831" s="3" t="n"/>
      <c r="BL831" s="3" t="n"/>
      <c r="BM831" s="3" t="n"/>
      <c r="BN831" s="3" t="n"/>
    </row>
    <row r="832" ht="12" customHeight="1">
      <c r="B832" s="2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4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7" t="n"/>
      <c r="AW832" s="3" t="n"/>
      <c r="AX832" s="3" t="n"/>
      <c r="AY832" s="3" t="n"/>
      <c r="AZ832" s="3" t="n"/>
      <c r="BA832" s="3" t="n"/>
      <c r="BB832" s="3" t="n"/>
      <c r="BC832" s="3" t="n"/>
      <c r="BD832" s="3" t="n"/>
      <c r="BE832" s="3" t="n"/>
      <c r="BF832" s="3" t="n"/>
      <c r="BG832" s="3" t="n"/>
      <c r="BH832" s="3" t="n"/>
      <c r="BI832" s="3" t="n"/>
      <c r="BJ832" s="3" t="n"/>
      <c r="BK832" s="3" t="n"/>
      <c r="BL832" s="3" t="n"/>
      <c r="BM832" s="3" t="n"/>
      <c r="BN832" s="3" t="n"/>
    </row>
    <row r="833" ht="12" customHeight="1">
      <c r="B833" s="2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4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  <c r="AQ833" s="3" t="n"/>
      <c r="AR833" s="3" t="n"/>
      <c r="AS833" s="3" t="n"/>
      <c r="AT833" s="3" t="n"/>
      <c r="AU833" s="3" t="n"/>
      <c r="AV833" s="7" t="n"/>
      <c r="AW833" s="3" t="n"/>
      <c r="AX833" s="3" t="n"/>
      <c r="AY833" s="3" t="n"/>
      <c r="AZ833" s="3" t="n"/>
      <c r="BA833" s="3" t="n"/>
      <c r="BB833" s="3" t="n"/>
      <c r="BC833" s="3" t="n"/>
      <c r="BD833" s="3" t="n"/>
      <c r="BE833" s="3" t="n"/>
      <c r="BF833" s="3" t="n"/>
      <c r="BG833" s="3" t="n"/>
      <c r="BH833" s="3" t="n"/>
      <c r="BI833" s="3" t="n"/>
      <c r="BJ833" s="3" t="n"/>
      <c r="BK833" s="3" t="n"/>
      <c r="BL833" s="3" t="n"/>
      <c r="BM833" s="3" t="n"/>
      <c r="BN833" s="3" t="n"/>
    </row>
    <row r="834" ht="12" customHeight="1">
      <c r="B834" s="2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4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7" t="n"/>
      <c r="AW834" s="3" t="n"/>
      <c r="AX834" s="3" t="n"/>
      <c r="AY834" s="3" t="n"/>
      <c r="AZ834" s="3" t="n"/>
      <c r="BA834" s="3" t="n"/>
      <c r="BB834" s="3" t="n"/>
      <c r="BC834" s="3" t="n"/>
      <c r="BD834" s="3" t="n"/>
      <c r="BE834" s="3" t="n"/>
      <c r="BF834" s="3" t="n"/>
      <c r="BG834" s="3" t="n"/>
      <c r="BH834" s="3" t="n"/>
      <c r="BI834" s="3" t="n"/>
      <c r="BJ834" s="3" t="n"/>
      <c r="BK834" s="3" t="n"/>
      <c r="BL834" s="3" t="n"/>
      <c r="BM834" s="3" t="n"/>
      <c r="BN834" s="3" t="n"/>
    </row>
    <row r="835" ht="12" customHeight="1">
      <c r="B835" s="2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4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  <c r="AQ835" s="3" t="n"/>
      <c r="AR835" s="3" t="n"/>
      <c r="AS835" s="3" t="n"/>
      <c r="AT835" s="3" t="n"/>
      <c r="AU835" s="3" t="n"/>
      <c r="AV835" s="7" t="n"/>
      <c r="AW835" s="3" t="n"/>
      <c r="AX835" s="3" t="n"/>
      <c r="AY835" s="3" t="n"/>
      <c r="AZ835" s="3" t="n"/>
      <c r="BA835" s="3" t="n"/>
      <c r="BB835" s="3" t="n"/>
      <c r="BC835" s="3" t="n"/>
      <c r="BD835" s="3" t="n"/>
      <c r="BE835" s="3" t="n"/>
      <c r="BF835" s="3" t="n"/>
      <c r="BG835" s="3" t="n"/>
      <c r="BH835" s="3" t="n"/>
      <c r="BI835" s="3" t="n"/>
      <c r="BJ835" s="3" t="n"/>
      <c r="BK835" s="3" t="n"/>
      <c r="BL835" s="3" t="n"/>
      <c r="BM835" s="3" t="n"/>
      <c r="BN835" s="3" t="n"/>
    </row>
    <row r="836" ht="12" customHeight="1">
      <c r="B836" s="2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4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7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</row>
    <row r="837" ht="12" customHeight="1">
      <c r="B837" s="2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4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7" t="n"/>
      <c r="AW837" s="3" t="n"/>
      <c r="AX837" s="3" t="n"/>
      <c r="AY837" s="3" t="n"/>
      <c r="AZ837" s="3" t="n"/>
      <c r="BA837" s="3" t="n"/>
      <c r="BB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N837" s="3" t="n"/>
    </row>
    <row r="838" ht="12" customHeight="1">
      <c r="B838" s="2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4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7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</row>
    <row r="839" ht="12" customHeight="1">
      <c r="B839" s="2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4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7" t="n"/>
      <c r="AW839" s="3" t="n"/>
      <c r="AX839" s="3" t="n"/>
      <c r="AY839" s="3" t="n"/>
      <c r="AZ839" s="3" t="n"/>
      <c r="BA839" s="3" t="n"/>
      <c r="BB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N839" s="3" t="n"/>
    </row>
    <row r="840" ht="12" customHeight="1">
      <c r="B840" s="2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4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7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</row>
    <row r="841" ht="12" customHeight="1">
      <c r="B841" s="2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4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7" t="n"/>
      <c r="AW841" s="3" t="n"/>
      <c r="AX841" s="3" t="n"/>
      <c r="AY841" s="3" t="n"/>
      <c r="AZ841" s="3" t="n"/>
      <c r="BA841" s="3" t="n"/>
      <c r="BB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N841" s="3" t="n"/>
    </row>
    <row r="842" ht="12" customHeight="1">
      <c r="B842" s="2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4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7" t="n"/>
      <c r="AW842" s="3" t="n"/>
      <c r="AX842" s="3" t="n"/>
      <c r="AY842" s="3" t="n"/>
      <c r="AZ842" s="3" t="n"/>
      <c r="BA842" s="3" t="n"/>
      <c r="BB842" s="3" t="n"/>
      <c r="BC842" s="3" t="n"/>
      <c r="BD842" s="3" t="n"/>
      <c r="BE842" s="3" t="n"/>
      <c r="BF842" s="3" t="n"/>
      <c r="BG842" s="3" t="n"/>
      <c r="BH842" s="3" t="n"/>
      <c r="BI842" s="3" t="n"/>
      <c r="BJ842" s="3" t="n"/>
      <c r="BK842" s="3" t="n"/>
      <c r="BL842" s="3" t="n"/>
      <c r="BM842" s="3" t="n"/>
      <c r="BN842" s="3" t="n"/>
    </row>
    <row r="843" ht="12" customHeight="1">
      <c r="B843" s="2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4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  <c r="AQ843" s="3" t="n"/>
      <c r="AR843" s="3" t="n"/>
      <c r="AS843" s="3" t="n"/>
      <c r="AT843" s="3" t="n"/>
      <c r="AU843" s="3" t="n"/>
      <c r="AV843" s="7" t="n"/>
      <c r="AW843" s="3" t="n"/>
      <c r="AX843" s="3" t="n"/>
      <c r="AY843" s="3" t="n"/>
      <c r="AZ843" s="3" t="n"/>
      <c r="BA843" s="3" t="n"/>
      <c r="BB843" s="3" t="n"/>
      <c r="BC843" s="3" t="n"/>
      <c r="BD843" s="3" t="n"/>
      <c r="BE843" s="3" t="n"/>
      <c r="BF843" s="3" t="n"/>
      <c r="BG843" s="3" t="n"/>
      <c r="BH843" s="3" t="n"/>
      <c r="BI843" s="3" t="n"/>
      <c r="BJ843" s="3" t="n"/>
      <c r="BK843" s="3" t="n"/>
      <c r="BL843" s="3" t="n"/>
      <c r="BM843" s="3" t="n"/>
      <c r="BN843" s="3" t="n"/>
    </row>
    <row r="844" ht="12" customHeight="1">
      <c r="B844" s="2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4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7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</row>
    <row r="845" ht="12" customHeight="1">
      <c r="B845" s="2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4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  <c r="AQ845" s="3" t="n"/>
      <c r="AR845" s="3" t="n"/>
      <c r="AS845" s="3" t="n"/>
      <c r="AT845" s="3" t="n"/>
      <c r="AU845" s="3" t="n"/>
      <c r="AV845" s="7" t="n"/>
      <c r="AW845" s="3" t="n"/>
      <c r="AX845" s="3" t="n"/>
      <c r="AY845" s="3" t="n"/>
      <c r="AZ845" s="3" t="n"/>
      <c r="BA845" s="3" t="n"/>
      <c r="BB845" s="3" t="n"/>
      <c r="BC845" s="3" t="n"/>
      <c r="BD845" s="3" t="n"/>
      <c r="BE845" s="3" t="n"/>
      <c r="BF845" s="3" t="n"/>
      <c r="BG845" s="3" t="n"/>
      <c r="BH845" s="3" t="n"/>
      <c r="BI845" s="3" t="n"/>
      <c r="BJ845" s="3" t="n"/>
      <c r="BK845" s="3" t="n"/>
      <c r="BL845" s="3" t="n"/>
      <c r="BM845" s="3" t="n"/>
      <c r="BN845" s="3" t="n"/>
    </row>
    <row r="846" ht="12" customHeight="1">
      <c r="B846" s="2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4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7" t="n"/>
      <c r="AW846" s="3" t="n"/>
      <c r="AX846" s="3" t="n"/>
      <c r="AY846" s="3" t="n"/>
      <c r="AZ846" s="3" t="n"/>
      <c r="BA846" s="3" t="n"/>
      <c r="BB846" s="3" t="n"/>
      <c r="BC846" s="3" t="n"/>
      <c r="BD846" s="3" t="n"/>
      <c r="BE846" s="3" t="n"/>
      <c r="BF846" s="3" t="n"/>
      <c r="BG846" s="3" t="n"/>
      <c r="BH846" s="3" t="n"/>
      <c r="BI846" s="3" t="n"/>
      <c r="BJ846" s="3" t="n"/>
      <c r="BK846" s="3" t="n"/>
      <c r="BL846" s="3" t="n"/>
      <c r="BM846" s="3" t="n"/>
      <c r="BN846" s="3" t="n"/>
    </row>
    <row r="847" ht="12" customHeight="1">
      <c r="B847" s="2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4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  <c r="AQ847" s="3" t="n"/>
      <c r="AR847" s="3" t="n"/>
      <c r="AS847" s="3" t="n"/>
      <c r="AT847" s="3" t="n"/>
      <c r="AU847" s="3" t="n"/>
      <c r="AV847" s="7" t="n"/>
      <c r="AW847" s="3" t="n"/>
      <c r="AX847" s="3" t="n"/>
      <c r="AY847" s="3" t="n"/>
      <c r="AZ847" s="3" t="n"/>
      <c r="BA847" s="3" t="n"/>
      <c r="BB847" s="3" t="n"/>
      <c r="BC847" s="3" t="n"/>
      <c r="BD847" s="3" t="n"/>
      <c r="BE847" s="3" t="n"/>
      <c r="BF847" s="3" t="n"/>
      <c r="BG847" s="3" t="n"/>
      <c r="BH847" s="3" t="n"/>
      <c r="BI847" s="3" t="n"/>
      <c r="BJ847" s="3" t="n"/>
      <c r="BK847" s="3" t="n"/>
      <c r="BL847" s="3" t="n"/>
      <c r="BM847" s="3" t="n"/>
      <c r="BN847" s="3" t="n"/>
    </row>
    <row r="848" ht="12" customHeight="1">
      <c r="B848" s="2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4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7" t="n"/>
      <c r="AW848" s="3" t="n"/>
      <c r="AX848" s="3" t="n"/>
      <c r="AY848" s="3" t="n"/>
      <c r="AZ848" s="3" t="n"/>
      <c r="BA848" s="3" t="n"/>
      <c r="BB848" s="3" t="n"/>
      <c r="BC848" s="3" t="n"/>
      <c r="BD848" s="3" t="n"/>
      <c r="BE848" s="3" t="n"/>
      <c r="BF848" s="3" t="n"/>
      <c r="BG848" s="3" t="n"/>
      <c r="BH848" s="3" t="n"/>
      <c r="BI848" s="3" t="n"/>
      <c r="BJ848" s="3" t="n"/>
      <c r="BK848" s="3" t="n"/>
      <c r="BL848" s="3" t="n"/>
      <c r="BM848" s="3" t="n"/>
      <c r="BN848" s="3" t="n"/>
    </row>
    <row r="849" ht="12" customHeight="1">
      <c r="B849" s="2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4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  <c r="AQ849" s="3" t="n"/>
      <c r="AR849" s="3" t="n"/>
      <c r="AS849" s="3" t="n"/>
      <c r="AT849" s="3" t="n"/>
      <c r="AU849" s="3" t="n"/>
      <c r="AV849" s="7" t="n"/>
      <c r="AW849" s="3" t="n"/>
      <c r="AX849" s="3" t="n"/>
      <c r="AY849" s="3" t="n"/>
      <c r="AZ849" s="3" t="n"/>
      <c r="BA849" s="3" t="n"/>
      <c r="BB849" s="3" t="n"/>
      <c r="BC849" s="3" t="n"/>
      <c r="BD849" s="3" t="n"/>
      <c r="BE849" s="3" t="n"/>
      <c r="BF849" s="3" t="n"/>
      <c r="BG849" s="3" t="n"/>
      <c r="BH849" s="3" t="n"/>
      <c r="BI849" s="3" t="n"/>
      <c r="BJ849" s="3" t="n"/>
      <c r="BK849" s="3" t="n"/>
      <c r="BL849" s="3" t="n"/>
      <c r="BM849" s="3" t="n"/>
      <c r="BN849" s="3" t="n"/>
    </row>
    <row r="850" ht="12" customHeight="1">
      <c r="B850" s="2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4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7" t="n"/>
      <c r="AW850" s="3" t="n"/>
      <c r="AX850" s="3" t="n"/>
      <c r="AY850" s="3" t="n"/>
      <c r="AZ850" s="3" t="n"/>
      <c r="BA850" s="3" t="n"/>
      <c r="BB850" s="3" t="n"/>
      <c r="BC850" s="3" t="n"/>
      <c r="BD850" s="3" t="n"/>
      <c r="BE850" s="3" t="n"/>
      <c r="BF850" s="3" t="n"/>
      <c r="BG850" s="3" t="n"/>
      <c r="BH850" s="3" t="n"/>
      <c r="BI850" s="3" t="n"/>
      <c r="BJ850" s="3" t="n"/>
      <c r="BK850" s="3" t="n"/>
      <c r="BL850" s="3" t="n"/>
      <c r="BM850" s="3" t="n"/>
      <c r="BN850" s="3" t="n"/>
    </row>
    <row r="851" ht="12" customHeight="1">
      <c r="B851" s="2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4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  <c r="AQ851" s="3" t="n"/>
      <c r="AR851" s="3" t="n"/>
      <c r="AS851" s="3" t="n"/>
      <c r="AT851" s="3" t="n"/>
      <c r="AU851" s="3" t="n"/>
      <c r="AV851" s="7" t="n"/>
      <c r="AW851" s="3" t="n"/>
      <c r="AX851" s="3" t="n"/>
      <c r="AY851" s="3" t="n"/>
      <c r="AZ851" s="3" t="n"/>
      <c r="BA851" s="3" t="n"/>
      <c r="BB851" s="3" t="n"/>
      <c r="BC851" s="3" t="n"/>
      <c r="BD851" s="3" t="n"/>
      <c r="BE851" s="3" t="n"/>
      <c r="BF851" s="3" t="n"/>
      <c r="BG851" s="3" t="n"/>
      <c r="BH851" s="3" t="n"/>
      <c r="BI851" s="3" t="n"/>
      <c r="BJ851" s="3" t="n"/>
      <c r="BK851" s="3" t="n"/>
      <c r="BL851" s="3" t="n"/>
      <c r="BM851" s="3" t="n"/>
      <c r="BN851" s="3" t="n"/>
    </row>
    <row r="852" ht="12" customHeight="1">
      <c r="B852" s="2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4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7" t="n"/>
      <c r="AW852" s="3" t="n"/>
      <c r="AX852" s="3" t="n"/>
      <c r="AY852" s="3" t="n"/>
      <c r="AZ852" s="3" t="n"/>
      <c r="BA852" s="3" t="n"/>
      <c r="BB852" s="3" t="n"/>
      <c r="BC852" s="3" t="n"/>
      <c r="BD852" s="3" t="n"/>
      <c r="BE852" s="3" t="n"/>
      <c r="BF852" s="3" t="n"/>
      <c r="BG852" s="3" t="n"/>
      <c r="BH852" s="3" t="n"/>
      <c r="BI852" s="3" t="n"/>
      <c r="BJ852" s="3" t="n"/>
      <c r="BK852" s="3" t="n"/>
      <c r="BL852" s="3" t="n"/>
      <c r="BM852" s="3" t="n"/>
      <c r="BN852" s="3" t="n"/>
    </row>
    <row r="853" ht="12" customHeight="1">
      <c r="B853" s="2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4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  <c r="AQ853" s="3" t="n"/>
      <c r="AR853" s="3" t="n"/>
      <c r="AS853" s="3" t="n"/>
      <c r="AT853" s="3" t="n"/>
      <c r="AU853" s="3" t="n"/>
      <c r="AV853" s="7" t="n"/>
      <c r="AW853" s="3" t="n"/>
      <c r="AX853" s="3" t="n"/>
      <c r="AY853" s="3" t="n"/>
      <c r="AZ853" s="3" t="n"/>
      <c r="BA853" s="3" t="n"/>
      <c r="BB853" s="3" t="n"/>
      <c r="BC853" s="3" t="n"/>
      <c r="BD853" s="3" t="n"/>
      <c r="BE853" s="3" t="n"/>
      <c r="BF853" s="3" t="n"/>
      <c r="BG853" s="3" t="n"/>
      <c r="BH853" s="3" t="n"/>
      <c r="BI853" s="3" t="n"/>
      <c r="BJ853" s="3" t="n"/>
      <c r="BK853" s="3" t="n"/>
      <c r="BL853" s="3" t="n"/>
      <c r="BM853" s="3" t="n"/>
      <c r="BN853" s="3" t="n"/>
    </row>
    <row r="854" ht="12" customHeight="1">
      <c r="B854" s="2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4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7" t="n"/>
      <c r="AW854" s="3" t="n"/>
      <c r="AX854" s="3" t="n"/>
      <c r="AY854" s="3" t="n"/>
      <c r="AZ854" s="3" t="n"/>
      <c r="BA854" s="3" t="n"/>
      <c r="BB854" s="3" t="n"/>
      <c r="BC854" s="3" t="n"/>
      <c r="BD854" s="3" t="n"/>
      <c r="BE854" s="3" t="n"/>
      <c r="BF854" s="3" t="n"/>
      <c r="BG854" s="3" t="n"/>
      <c r="BH854" s="3" t="n"/>
      <c r="BI854" s="3" t="n"/>
      <c r="BJ854" s="3" t="n"/>
      <c r="BK854" s="3" t="n"/>
      <c r="BL854" s="3" t="n"/>
      <c r="BM854" s="3" t="n"/>
      <c r="BN854" s="3" t="n"/>
    </row>
    <row r="855" ht="12" customHeight="1">
      <c r="B855" s="2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4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  <c r="AQ855" s="3" t="n"/>
      <c r="AR855" s="3" t="n"/>
      <c r="AS855" s="3" t="n"/>
      <c r="AT855" s="3" t="n"/>
      <c r="AU855" s="3" t="n"/>
      <c r="AV855" s="7" t="n"/>
      <c r="AW855" s="3" t="n"/>
      <c r="AX855" s="3" t="n"/>
      <c r="AY855" s="3" t="n"/>
      <c r="AZ855" s="3" t="n"/>
      <c r="BA855" s="3" t="n"/>
      <c r="BB855" s="3" t="n"/>
      <c r="BC855" s="3" t="n"/>
      <c r="BD855" s="3" t="n"/>
      <c r="BE855" s="3" t="n"/>
      <c r="BF855" s="3" t="n"/>
      <c r="BG855" s="3" t="n"/>
      <c r="BH855" s="3" t="n"/>
      <c r="BI855" s="3" t="n"/>
      <c r="BJ855" s="3" t="n"/>
      <c r="BK855" s="3" t="n"/>
      <c r="BL855" s="3" t="n"/>
      <c r="BM855" s="3" t="n"/>
      <c r="BN855" s="3" t="n"/>
    </row>
    <row r="856" ht="12" customHeight="1">
      <c r="B856" s="2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4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7" t="n"/>
      <c r="AW856" s="3" t="n"/>
      <c r="AX856" s="3" t="n"/>
      <c r="AY856" s="3" t="n"/>
      <c r="AZ856" s="3" t="n"/>
      <c r="BA856" s="3" t="n"/>
      <c r="BB856" s="3" t="n"/>
      <c r="BC856" s="3" t="n"/>
      <c r="BD856" s="3" t="n"/>
      <c r="BE856" s="3" t="n"/>
      <c r="BF856" s="3" t="n"/>
      <c r="BG856" s="3" t="n"/>
      <c r="BH856" s="3" t="n"/>
      <c r="BI856" s="3" t="n"/>
      <c r="BJ856" s="3" t="n"/>
      <c r="BK856" s="3" t="n"/>
      <c r="BL856" s="3" t="n"/>
      <c r="BM856" s="3" t="n"/>
      <c r="BN856" s="3" t="n"/>
    </row>
    <row r="857" ht="12" customHeight="1">
      <c r="B857" s="2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4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  <c r="AQ857" s="3" t="n"/>
      <c r="AR857" s="3" t="n"/>
      <c r="AS857" s="3" t="n"/>
      <c r="AT857" s="3" t="n"/>
      <c r="AU857" s="3" t="n"/>
      <c r="AV857" s="7" t="n"/>
      <c r="AW857" s="3" t="n"/>
      <c r="AX857" s="3" t="n"/>
      <c r="AY857" s="3" t="n"/>
      <c r="AZ857" s="3" t="n"/>
      <c r="BA857" s="3" t="n"/>
      <c r="BB857" s="3" t="n"/>
      <c r="BC857" s="3" t="n"/>
      <c r="BD857" s="3" t="n"/>
      <c r="BE857" s="3" t="n"/>
      <c r="BF857" s="3" t="n"/>
      <c r="BG857" s="3" t="n"/>
      <c r="BH857" s="3" t="n"/>
      <c r="BI857" s="3" t="n"/>
      <c r="BJ857" s="3" t="n"/>
      <c r="BK857" s="3" t="n"/>
      <c r="BL857" s="3" t="n"/>
      <c r="BM857" s="3" t="n"/>
      <c r="BN857" s="3" t="n"/>
    </row>
    <row r="858" ht="12" customHeight="1">
      <c r="B858" s="2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4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7" t="n"/>
      <c r="AW858" s="3" t="n"/>
      <c r="AX858" s="3" t="n"/>
      <c r="AY858" s="3" t="n"/>
      <c r="AZ858" s="3" t="n"/>
      <c r="BA858" s="3" t="n"/>
      <c r="BB858" s="3" t="n"/>
      <c r="BC858" s="3" t="n"/>
      <c r="BD858" s="3" t="n"/>
      <c r="BE858" s="3" t="n"/>
      <c r="BF858" s="3" t="n"/>
      <c r="BG858" s="3" t="n"/>
      <c r="BH858" s="3" t="n"/>
      <c r="BI858" s="3" t="n"/>
      <c r="BJ858" s="3" t="n"/>
      <c r="BK858" s="3" t="n"/>
      <c r="BL858" s="3" t="n"/>
      <c r="BM858" s="3" t="n"/>
      <c r="BN858" s="3" t="n"/>
    </row>
    <row r="859" ht="12" customHeight="1">
      <c r="B859" s="2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4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  <c r="AQ859" s="3" t="n"/>
      <c r="AR859" s="3" t="n"/>
      <c r="AS859" s="3" t="n"/>
      <c r="AT859" s="3" t="n"/>
      <c r="AU859" s="3" t="n"/>
      <c r="AV859" s="7" t="n"/>
      <c r="AW859" s="3" t="n"/>
      <c r="AX859" s="3" t="n"/>
      <c r="AY859" s="3" t="n"/>
      <c r="AZ859" s="3" t="n"/>
      <c r="BA859" s="3" t="n"/>
      <c r="BB859" s="3" t="n"/>
      <c r="BC859" s="3" t="n"/>
      <c r="BD859" s="3" t="n"/>
      <c r="BE859" s="3" t="n"/>
      <c r="BF859" s="3" t="n"/>
      <c r="BG859" s="3" t="n"/>
      <c r="BH859" s="3" t="n"/>
      <c r="BI859" s="3" t="n"/>
      <c r="BJ859" s="3" t="n"/>
      <c r="BK859" s="3" t="n"/>
      <c r="BL859" s="3" t="n"/>
      <c r="BM859" s="3" t="n"/>
      <c r="BN859" s="3" t="n"/>
    </row>
    <row r="860" ht="12" customHeight="1">
      <c r="B860" s="2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4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7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</row>
    <row r="861" ht="12" customHeight="1">
      <c r="B861" s="2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4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7" t="n"/>
      <c r="AW861" s="3" t="n"/>
      <c r="AX861" s="3" t="n"/>
      <c r="AY861" s="3" t="n"/>
      <c r="AZ861" s="3" t="n"/>
      <c r="BA861" s="3" t="n"/>
      <c r="BB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N861" s="3" t="n"/>
    </row>
    <row r="862" ht="12" customHeight="1">
      <c r="B862" s="2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4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7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</row>
    <row r="863" ht="12" customHeight="1">
      <c r="B863" s="2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4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7" t="n"/>
      <c r="AW863" s="3" t="n"/>
      <c r="AX863" s="3" t="n"/>
      <c r="AY863" s="3" t="n"/>
      <c r="AZ863" s="3" t="n"/>
      <c r="BA863" s="3" t="n"/>
      <c r="BB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N863" s="3" t="n"/>
    </row>
    <row r="864" ht="12" customHeight="1">
      <c r="B864" s="2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4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7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</row>
    <row r="865" ht="12" customHeight="1">
      <c r="B865" s="2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4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7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</row>
    <row r="866" ht="12" customHeight="1">
      <c r="B866" s="2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4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7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</row>
    <row r="867" ht="12" customHeight="1">
      <c r="B867" s="2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4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  <c r="AQ867" s="3" t="n"/>
      <c r="AR867" s="3" t="n"/>
      <c r="AS867" s="3" t="n"/>
      <c r="AT867" s="3" t="n"/>
      <c r="AU867" s="3" t="n"/>
      <c r="AV867" s="7" t="n"/>
      <c r="AW867" s="3" t="n"/>
      <c r="AX867" s="3" t="n"/>
      <c r="AY867" s="3" t="n"/>
      <c r="AZ867" s="3" t="n"/>
      <c r="BA867" s="3" t="n"/>
      <c r="BB867" s="3" t="n"/>
      <c r="BC867" s="3" t="n"/>
      <c r="BD867" s="3" t="n"/>
      <c r="BE867" s="3" t="n"/>
      <c r="BF867" s="3" t="n"/>
      <c r="BG867" s="3" t="n"/>
      <c r="BH867" s="3" t="n"/>
      <c r="BI867" s="3" t="n"/>
      <c r="BJ867" s="3" t="n"/>
      <c r="BK867" s="3" t="n"/>
      <c r="BL867" s="3" t="n"/>
      <c r="BM867" s="3" t="n"/>
      <c r="BN867" s="3" t="n"/>
    </row>
    <row r="868" ht="12" customHeight="1">
      <c r="B868" s="2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4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7" t="n"/>
      <c r="AW868" s="3" t="n"/>
      <c r="AX868" s="3" t="n"/>
      <c r="AY868" s="3" t="n"/>
      <c r="AZ868" s="3" t="n"/>
      <c r="BA868" s="3" t="n"/>
      <c r="BB868" s="3" t="n"/>
      <c r="BC868" s="3" t="n"/>
      <c r="BD868" s="3" t="n"/>
      <c r="BE868" s="3" t="n"/>
      <c r="BF868" s="3" t="n"/>
      <c r="BG868" s="3" t="n"/>
      <c r="BH868" s="3" t="n"/>
      <c r="BI868" s="3" t="n"/>
      <c r="BJ868" s="3" t="n"/>
      <c r="BK868" s="3" t="n"/>
      <c r="BL868" s="3" t="n"/>
      <c r="BM868" s="3" t="n"/>
      <c r="BN868" s="3" t="n"/>
    </row>
    <row r="869" ht="12" customHeight="1">
      <c r="B869" s="2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4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  <c r="AQ869" s="3" t="n"/>
      <c r="AR869" s="3" t="n"/>
      <c r="AS869" s="3" t="n"/>
      <c r="AT869" s="3" t="n"/>
      <c r="AU869" s="3" t="n"/>
      <c r="AV869" s="7" t="n"/>
      <c r="AW869" s="3" t="n"/>
      <c r="AX869" s="3" t="n"/>
      <c r="AY869" s="3" t="n"/>
      <c r="AZ869" s="3" t="n"/>
      <c r="BA869" s="3" t="n"/>
      <c r="BB869" s="3" t="n"/>
      <c r="BC869" s="3" t="n"/>
      <c r="BD869" s="3" t="n"/>
      <c r="BE869" s="3" t="n"/>
      <c r="BF869" s="3" t="n"/>
      <c r="BG869" s="3" t="n"/>
      <c r="BH869" s="3" t="n"/>
      <c r="BI869" s="3" t="n"/>
      <c r="BJ869" s="3" t="n"/>
      <c r="BK869" s="3" t="n"/>
      <c r="BL869" s="3" t="n"/>
      <c r="BM869" s="3" t="n"/>
      <c r="BN869" s="3" t="n"/>
    </row>
    <row r="870" ht="12" customHeight="1">
      <c r="B870" s="2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4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7" t="n"/>
      <c r="AW870" s="3" t="n"/>
      <c r="AX870" s="3" t="n"/>
      <c r="AY870" s="3" t="n"/>
      <c r="AZ870" s="3" t="n"/>
      <c r="BA870" s="3" t="n"/>
      <c r="BB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N870" s="3" t="n"/>
    </row>
    <row r="871" ht="12" customHeight="1">
      <c r="B871" s="2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4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/>
      <c r="AV871" s="7" t="n"/>
      <c r="AW871" s="3" t="n"/>
      <c r="AX871" s="3" t="n"/>
      <c r="AY871" s="3" t="n"/>
      <c r="AZ871" s="3" t="n"/>
      <c r="BA871" s="3" t="n"/>
      <c r="BB871" s="3" t="n"/>
      <c r="BC871" s="3" t="n"/>
      <c r="BD871" s="3" t="n"/>
      <c r="BE871" s="3" t="n"/>
      <c r="BF871" s="3" t="n"/>
      <c r="BG871" s="3" t="n"/>
      <c r="BH871" s="3" t="n"/>
      <c r="BI871" s="3" t="n"/>
      <c r="BJ871" s="3" t="n"/>
      <c r="BK871" s="3" t="n"/>
      <c r="BL871" s="3" t="n"/>
      <c r="BM871" s="3" t="n"/>
      <c r="BN871" s="3" t="n"/>
    </row>
    <row r="872" ht="12" customHeight="1">
      <c r="B872" s="2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4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7" t="n"/>
      <c r="AW872" s="3" t="n"/>
      <c r="AX872" s="3" t="n"/>
      <c r="AY872" s="3" t="n"/>
      <c r="AZ872" s="3" t="n"/>
      <c r="BA872" s="3" t="n"/>
      <c r="BB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N872" s="3" t="n"/>
    </row>
    <row r="873" ht="12" customHeight="1">
      <c r="B873" s="2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4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  <c r="AQ873" s="3" t="n"/>
      <c r="AR873" s="3" t="n"/>
      <c r="AS873" s="3" t="n"/>
      <c r="AT873" s="3" t="n"/>
      <c r="AU873" s="3" t="n"/>
      <c r="AV873" s="7" t="n"/>
      <c r="AW873" s="3" t="n"/>
      <c r="AX873" s="3" t="n"/>
      <c r="AY873" s="3" t="n"/>
      <c r="AZ873" s="3" t="n"/>
      <c r="BA873" s="3" t="n"/>
      <c r="BB873" s="3" t="n"/>
      <c r="BC873" s="3" t="n"/>
      <c r="BD873" s="3" t="n"/>
      <c r="BE873" s="3" t="n"/>
      <c r="BF873" s="3" t="n"/>
      <c r="BG873" s="3" t="n"/>
      <c r="BH873" s="3" t="n"/>
      <c r="BI873" s="3" t="n"/>
      <c r="BJ873" s="3" t="n"/>
      <c r="BK873" s="3" t="n"/>
      <c r="BL873" s="3" t="n"/>
      <c r="BM873" s="3" t="n"/>
      <c r="BN873" s="3" t="n"/>
    </row>
    <row r="874" ht="12" customHeight="1">
      <c r="B874" s="2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4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7" t="n"/>
      <c r="AW874" s="3" t="n"/>
      <c r="AX874" s="3" t="n"/>
      <c r="AY874" s="3" t="n"/>
      <c r="AZ874" s="3" t="n"/>
      <c r="BA874" s="3" t="n"/>
      <c r="BB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N874" s="3" t="n"/>
    </row>
    <row r="875" ht="12" customHeight="1">
      <c r="B875" s="2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4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/>
      <c r="AV875" s="7" t="n"/>
      <c r="AW875" s="3" t="n"/>
      <c r="AX875" s="3" t="n"/>
      <c r="AY875" s="3" t="n"/>
      <c r="AZ875" s="3" t="n"/>
      <c r="BA875" s="3" t="n"/>
      <c r="BB875" s="3" t="n"/>
      <c r="BC875" s="3" t="n"/>
      <c r="BD875" s="3" t="n"/>
      <c r="BE875" s="3" t="n"/>
      <c r="BF875" s="3" t="n"/>
      <c r="BG875" s="3" t="n"/>
      <c r="BH875" s="3" t="n"/>
      <c r="BI875" s="3" t="n"/>
      <c r="BJ875" s="3" t="n"/>
      <c r="BK875" s="3" t="n"/>
      <c r="BL875" s="3" t="n"/>
      <c r="BM875" s="3" t="n"/>
      <c r="BN875" s="3" t="n"/>
    </row>
    <row r="876" ht="12" customHeight="1">
      <c r="B876" s="2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4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7" t="n"/>
      <c r="AW876" s="3" t="n"/>
      <c r="AX876" s="3" t="n"/>
      <c r="AY876" s="3" t="n"/>
      <c r="AZ876" s="3" t="n"/>
      <c r="BA876" s="3" t="n"/>
      <c r="BB876" s="3" t="n"/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N876" s="3" t="n"/>
    </row>
    <row r="877" ht="12" customHeight="1">
      <c r="B877" s="2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4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  <c r="AQ877" s="3" t="n"/>
      <c r="AR877" s="3" t="n"/>
      <c r="AS877" s="3" t="n"/>
      <c r="AT877" s="3" t="n"/>
      <c r="AU877" s="3" t="n"/>
      <c r="AV877" s="7" t="n"/>
      <c r="AW877" s="3" t="n"/>
      <c r="AX877" s="3" t="n"/>
      <c r="AY877" s="3" t="n"/>
      <c r="AZ877" s="3" t="n"/>
      <c r="BA877" s="3" t="n"/>
      <c r="BB877" s="3" t="n"/>
      <c r="BC877" s="3" t="n"/>
      <c r="BD877" s="3" t="n"/>
      <c r="BE877" s="3" t="n"/>
      <c r="BF877" s="3" t="n"/>
      <c r="BG877" s="3" t="n"/>
      <c r="BH877" s="3" t="n"/>
      <c r="BI877" s="3" t="n"/>
      <c r="BJ877" s="3" t="n"/>
      <c r="BK877" s="3" t="n"/>
      <c r="BL877" s="3" t="n"/>
      <c r="BM877" s="3" t="n"/>
      <c r="BN877" s="3" t="n"/>
    </row>
    <row r="878" ht="12" customHeight="1">
      <c r="B878" s="2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4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7" t="n"/>
      <c r="AW878" s="3" t="n"/>
      <c r="AX878" s="3" t="n"/>
      <c r="AY878" s="3" t="n"/>
      <c r="AZ878" s="3" t="n"/>
      <c r="BA878" s="3" t="n"/>
      <c r="BB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N878" s="3" t="n"/>
    </row>
    <row r="879" ht="12" customHeight="1">
      <c r="B879" s="2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4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7" t="n"/>
      <c r="AW879" s="3" t="n"/>
      <c r="AX879" s="3" t="n"/>
      <c r="AY879" s="3" t="n"/>
      <c r="AZ879" s="3" t="n"/>
      <c r="BA879" s="3" t="n"/>
      <c r="BB879" s="3" t="n"/>
      <c r="BC879" s="3" t="n"/>
      <c r="BD879" s="3" t="n"/>
      <c r="BE879" s="3" t="n"/>
      <c r="BF879" s="3" t="n"/>
      <c r="BG879" s="3" t="n"/>
      <c r="BH879" s="3" t="n"/>
      <c r="BI879" s="3" t="n"/>
      <c r="BJ879" s="3" t="n"/>
      <c r="BK879" s="3" t="n"/>
      <c r="BL879" s="3" t="n"/>
      <c r="BM879" s="3" t="n"/>
      <c r="BN879" s="3" t="n"/>
    </row>
    <row r="880" ht="12" customHeight="1">
      <c r="B880" s="2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4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7" t="n"/>
      <c r="AW880" s="3" t="n"/>
      <c r="AX880" s="3" t="n"/>
      <c r="AY880" s="3" t="n"/>
      <c r="AZ880" s="3" t="n"/>
      <c r="BA880" s="3" t="n"/>
      <c r="BB880" s="3" t="n"/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N880" s="3" t="n"/>
    </row>
    <row r="881" ht="12" customHeight="1">
      <c r="B881" s="2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4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  <c r="AQ881" s="3" t="n"/>
      <c r="AR881" s="3" t="n"/>
      <c r="AS881" s="3" t="n"/>
      <c r="AT881" s="3" t="n"/>
      <c r="AU881" s="3" t="n"/>
      <c r="AV881" s="7" t="n"/>
      <c r="AW881" s="3" t="n"/>
      <c r="AX881" s="3" t="n"/>
      <c r="AY881" s="3" t="n"/>
      <c r="AZ881" s="3" t="n"/>
      <c r="BA881" s="3" t="n"/>
      <c r="BB881" s="3" t="n"/>
      <c r="BC881" s="3" t="n"/>
      <c r="BD881" s="3" t="n"/>
      <c r="BE881" s="3" t="n"/>
      <c r="BF881" s="3" t="n"/>
      <c r="BG881" s="3" t="n"/>
      <c r="BH881" s="3" t="n"/>
      <c r="BI881" s="3" t="n"/>
      <c r="BJ881" s="3" t="n"/>
      <c r="BK881" s="3" t="n"/>
      <c r="BL881" s="3" t="n"/>
      <c r="BM881" s="3" t="n"/>
      <c r="BN881" s="3" t="n"/>
    </row>
    <row r="882" ht="12" customHeight="1">
      <c r="B882" s="2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4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7" t="n"/>
      <c r="AW882" s="3" t="n"/>
      <c r="AX882" s="3" t="n"/>
      <c r="AY882" s="3" t="n"/>
      <c r="AZ882" s="3" t="n"/>
      <c r="BA882" s="3" t="n"/>
      <c r="BB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N882" s="3" t="n"/>
    </row>
    <row r="883" ht="12" customHeight="1">
      <c r="B883" s="2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4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  <c r="AQ883" s="3" t="n"/>
      <c r="AR883" s="3" t="n"/>
      <c r="AS883" s="3" t="n"/>
      <c r="AT883" s="3" t="n"/>
      <c r="AU883" s="3" t="n"/>
      <c r="AV883" s="7" t="n"/>
      <c r="AW883" s="3" t="n"/>
      <c r="AX883" s="3" t="n"/>
      <c r="AY883" s="3" t="n"/>
      <c r="AZ883" s="3" t="n"/>
      <c r="BA883" s="3" t="n"/>
      <c r="BB883" s="3" t="n"/>
      <c r="BC883" s="3" t="n"/>
      <c r="BD883" s="3" t="n"/>
      <c r="BE883" s="3" t="n"/>
      <c r="BF883" s="3" t="n"/>
      <c r="BG883" s="3" t="n"/>
      <c r="BH883" s="3" t="n"/>
      <c r="BI883" s="3" t="n"/>
      <c r="BJ883" s="3" t="n"/>
      <c r="BK883" s="3" t="n"/>
      <c r="BL883" s="3" t="n"/>
      <c r="BM883" s="3" t="n"/>
      <c r="BN883" s="3" t="n"/>
    </row>
    <row r="884" ht="12" customHeight="1">
      <c r="B884" s="2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4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7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</row>
    <row r="885" ht="12" customHeight="1">
      <c r="B885" s="2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4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7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</row>
    <row r="886" ht="12" customHeight="1">
      <c r="B886" s="2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4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7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</row>
    <row r="887" ht="12" customHeight="1">
      <c r="B887" s="2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4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7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</row>
    <row r="888" ht="12" customHeight="1">
      <c r="B888" s="2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4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7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</row>
    <row r="889" ht="12" customHeight="1">
      <c r="B889" s="2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4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7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</row>
    <row r="890" ht="12" customHeight="1">
      <c r="B890" s="2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4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7" t="n"/>
      <c r="AW890" s="3" t="n"/>
      <c r="AX890" s="3" t="n"/>
      <c r="AY890" s="3" t="n"/>
      <c r="AZ890" s="3" t="n"/>
      <c r="BA890" s="3" t="n"/>
      <c r="BB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N890" s="3" t="n"/>
    </row>
    <row r="891" ht="12" customHeight="1">
      <c r="B891" s="2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4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  <c r="AQ891" s="3" t="n"/>
      <c r="AR891" s="3" t="n"/>
      <c r="AS891" s="3" t="n"/>
      <c r="AT891" s="3" t="n"/>
      <c r="AU891" s="3" t="n"/>
      <c r="AV891" s="7" t="n"/>
      <c r="AW891" s="3" t="n"/>
      <c r="AX891" s="3" t="n"/>
      <c r="AY891" s="3" t="n"/>
      <c r="AZ891" s="3" t="n"/>
      <c r="BA891" s="3" t="n"/>
      <c r="BB891" s="3" t="n"/>
      <c r="BC891" s="3" t="n"/>
      <c r="BD891" s="3" t="n"/>
      <c r="BE891" s="3" t="n"/>
      <c r="BF891" s="3" t="n"/>
      <c r="BG891" s="3" t="n"/>
      <c r="BH891" s="3" t="n"/>
      <c r="BI891" s="3" t="n"/>
      <c r="BJ891" s="3" t="n"/>
      <c r="BK891" s="3" t="n"/>
      <c r="BL891" s="3" t="n"/>
      <c r="BM891" s="3" t="n"/>
      <c r="BN891" s="3" t="n"/>
    </row>
    <row r="892" ht="12" customHeight="1">
      <c r="B892" s="2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4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7" t="n"/>
      <c r="AW892" s="3" t="n"/>
      <c r="AX892" s="3" t="n"/>
      <c r="AY892" s="3" t="n"/>
      <c r="AZ892" s="3" t="n"/>
      <c r="BA892" s="3" t="n"/>
      <c r="BB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N892" s="3" t="n"/>
    </row>
    <row r="893" ht="12" customHeight="1">
      <c r="B893" s="2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4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  <c r="AQ893" s="3" t="n"/>
      <c r="AR893" s="3" t="n"/>
      <c r="AS893" s="3" t="n"/>
      <c r="AT893" s="3" t="n"/>
      <c r="AU893" s="3" t="n"/>
      <c r="AV893" s="7" t="n"/>
      <c r="AW893" s="3" t="n"/>
      <c r="AX893" s="3" t="n"/>
      <c r="AY893" s="3" t="n"/>
      <c r="AZ893" s="3" t="n"/>
      <c r="BA893" s="3" t="n"/>
      <c r="BB893" s="3" t="n"/>
      <c r="BC893" s="3" t="n"/>
      <c r="BD893" s="3" t="n"/>
      <c r="BE893" s="3" t="n"/>
      <c r="BF893" s="3" t="n"/>
      <c r="BG893" s="3" t="n"/>
      <c r="BH893" s="3" t="n"/>
      <c r="BI893" s="3" t="n"/>
      <c r="BJ893" s="3" t="n"/>
      <c r="BK893" s="3" t="n"/>
      <c r="BL893" s="3" t="n"/>
      <c r="BM893" s="3" t="n"/>
      <c r="BN893" s="3" t="n"/>
    </row>
    <row r="894" ht="12" customHeight="1">
      <c r="B894" s="2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4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7" t="n"/>
      <c r="AW894" s="3" t="n"/>
      <c r="AX894" s="3" t="n"/>
      <c r="AY894" s="3" t="n"/>
      <c r="AZ894" s="3" t="n"/>
      <c r="BA894" s="3" t="n"/>
      <c r="BB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N894" s="3" t="n"/>
    </row>
    <row r="895" ht="12" customHeight="1">
      <c r="B895" s="2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4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  <c r="AQ895" s="3" t="n"/>
      <c r="AR895" s="3" t="n"/>
      <c r="AS895" s="3" t="n"/>
      <c r="AT895" s="3" t="n"/>
      <c r="AU895" s="3" t="n"/>
      <c r="AV895" s="7" t="n"/>
      <c r="AW895" s="3" t="n"/>
      <c r="AX895" s="3" t="n"/>
      <c r="AY895" s="3" t="n"/>
      <c r="AZ895" s="3" t="n"/>
      <c r="BA895" s="3" t="n"/>
      <c r="BB895" s="3" t="n"/>
      <c r="BC895" s="3" t="n"/>
      <c r="BD895" s="3" t="n"/>
      <c r="BE895" s="3" t="n"/>
      <c r="BF895" s="3" t="n"/>
      <c r="BG895" s="3" t="n"/>
      <c r="BH895" s="3" t="n"/>
      <c r="BI895" s="3" t="n"/>
      <c r="BJ895" s="3" t="n"/>
      <c r="BK895" s="3" t="n"/>
      <c r="BL895" s="3" t="n"/>
      <c r="BM895" s="3" t="n"/>
      <c r="BN895" s="3" t="n"/>
    </row>
    <row r="896" ht="12" customHeight="1">
      <c r="B896" s="2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4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7" t="n"/>
      <c r="AW896" s="3" t="n"/>
      <c r="AX896" s="3" t="n"/>
      <c r="AY896" s="3" t="n"/>
      <c r="AZ896" s="3" t="n"/>
      <c r="BA896" s="3" t="n"/>
      <c r="BB896" s="3" t="n"/>
      <c r="BC896" s="3" t="n"/>
      <c r="BD896" s="3" t="n"/>
      <c r="BE896" s="3" t="n"/>
      <c r="BF896" s="3" t="n"/>
      <c r="BG896" s="3" t="n"/>
      <c r="BH896" s="3" t="n"/>
      <c r="BI896" s="3" t="n"/>
      <c r="BJ896" s="3" t="n"/>
      <c r="BK896" s="3" t="n"/>
      <c r="BL896" s="3" t="n"/>
      <c r="BM896" s="3" t="n"/>
      <c r="BN896" s="3" t="n"/>
    </row>
    <row r="897" ht="12" customHeight="1">
      <c r="B897" s="2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4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  <c r="AQ897" s="3" t="n"/>
      <c r="AR897" s="3" t="n"/>
      <c r="AS897" s="3" t="n"/>
      <c r="AT897" s="3" t="n"/>
      <c r="AU897" s="3" t="n"/>
      <c r="AV897" s="7" t="n"/>
      <c r="AW897" s="3" t="n"/>
      <c r="AX897" s="3" t="n"/>
      <c r="AY897" s="3" t="n"/>
      <c r="AZ897" s="3" t="n"/>
      <c r="BA897" s="3" t="n"/>
      <c r="BB897" s="3" t="n"/>
      <c r="BC897" s="3" t="n"/>
      <c r="BD897" s="3" t="n"/>
      <c r="BE897" s="3" t="n"/>
      <c r="BF897" s="3" t="n"/>
      <c r="BG897" s="3" t="n"/>
      <c r="BH897" s="3" t="n"/>
      <c r="BI897" s="3" t="n"/>
      <c r="BJ897" s="3" t="n"/>
      <c r="BK897" s="3" t="n"/>
      <c r="BL897" s="3" t="n"/>
      <c r="BM897" s="3" t="n"/>
      <c r="BN897" s="3" t="n"/>
    </row>
    <row r="898" ht="12" customHeight="1">
      <c r="B898" s="2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4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7" t="n"/>
      <c r="AW898" s="3" t="n"/>
      <c r="AX898" s="3" t="n"/>
      <c r="AY898" s="3" t="n"/>
      <c r="AZ898" s="3" t="n"/>
      <c r="BA898" s="3" t="n"/>
      <c r="BB898" s="3" t="n"/>
      <c r="BC898" s="3" t="n"/>
      <c r="BD898" s="3" t="n"/>
      <c r="BE898" s="3" t="n"/>
      <c r="BF898" s="3" t="n"/>
      <c r="BG898" s="3" t="n"/>
      <c r="BH898" s="3" t="n"/>
      <c r="BI898" s="3" t="n"/>
      <c r="BJ898" s="3" t="n"/>
      <c r="BK898" s="3" t="n"/>
      <c r="BL898" s="3" t="n"/>
      <c r="BM898" s="3" t="n"/>
      <c r="BN898" s="3" t="n"/>
    </row>
    <row r="899" ht="12" customHeight="1">
      <c r="B899" s="2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4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  <c r="AQ899" s="3" t="n"/>
      <c r="AR899" s="3" t="n"/>
      <c r="AS899" s="3" t="n"/>
      <c r="AT899" s="3" t="n"/>
      <c r="AU899" s="3" t="n"/>
      <c r="AV899" s="7" t="n"/>
      <c r="AW899" s="3" t="n"/>
      <c r="AX899" s="3" t="n"/>
      <c r="AY899" s="3" t="n"/>
      <c r="AZ899" s="3" t="n"/>
      <c r="BA899" s="3" t="n"/>
      <c r="BB899" s="3" t="n"/>
      <c r="BC899" s="3" t="n"/>
      <c r="BD899" s="3" t="n"/>
      <c r="BE899" s="3" t="n"/>
      <c r="BF899" s="3" t="n"/>
      <c r="BG899" s="3" t="n"/>
      <c r="BH899" s="3" t="n"/>
      <c r="BI899" s="3" t="n"/>
      <c r="BJ899" s="3" t="n"/>
      <c r="BK899" s="3" t="n"/>
      <c r="BL899" s="3" t="n"/>
      <c r="BM899" s="3" t="n"/>
      <c r="BN899" s="3" t="n"/>
    </row>
    <row r="900" ht="12" customHeight="1">
      <c r="B900" s="2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4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7" t="n"/>
      <c r="AW900" s="3" t="n"/>
      <c r="AX900" s="3" t="n"/>
      <c r="AY900" s="3" t="n"/>
      <c r="AZ900" s="3" t="n"/>
      <c r="BA900" s="3" t="n"/>
      <c r="BB900" s="3" t="n"/>
      <c r="BC900" s="3" t="n"/>
      <c r="BD900" s="3" t="n"/>
      <c r="BE900" s="3" t="n"/>
      <c r="BF900" s="3" t="n"/>
      <c r="BG900" s="3" t="n"/>
      <c r="BH900" s="3" t="n"/>
      <c r="BI900" s="3" t="n"/>
      <c r="BJ900" s="3" t="n"/>
      <c r="BK900" s="3" t="n"/>
      <c r="BL900" s="3" t="n"/>
      <c r="BM900" s="3" t="n"/>
      <c r="BN900" s="3" t="n"/>
    </row>
    <row r="901" ht="12" customHeight="1">
      <c r="B901" s="2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4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  <c r="AQ901" s="3" t="n"/>
      <c r="AR901" s="3" t="n"/>
      <c r="AS901" s="3" t="n"/>
      <c r="AT901" s="3" t="n"/>
      <c r="AU901" s="3" t="n"/>
      <c r="AV901" s="7" t="n"/>
      <c r="AW901" s="3" t="n"/>
      <c r="AX901" s="3" t="n"/>
      <c r="AY901" s="3" t="n"/>
      <c r="AZ901" s="3" t="n"/>
      <c r="BA901" s="3" t="n"/>
      <c r="BB901" s="3" t="n"/>
      <c r="BC901" s="3" t="n"/>
      <c r="BD901" s="3" t="n"/>
      <c r="BE901" s="3" t="n"/>
      <c r="BF901" s="3" t="n"/>
      <c r="BG901" s="3" t="n"/>
      <c r="BH901" s="3" t="n"/>
      <c r="BI901" s="3" t="n"/>
      <c r="BJ901" s="3" t="n"/>
      <c r="BK901" s="3" t="n"/>
      <c r="BL901" s="3" t="n"/>
      <c r="BM901" s="3" t="n"/>
      <c r="BN901" s="3" t="n"/>
    </row>
    <row r="902" ht="12" customHeight="1">
      <c r="B902" s="2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4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7" t="n"/>
      <c r="AW902" s="3" t="n"/>
      <c r="AX902" s="3" t="n"/>
      <c r="AY902" s="3" t="n"/>
      <c r="AZ902" s="3" t="n"/>
      <c r="BA902" s="3" t="n"/>
      <c r="BB902" s="3" t="n"/>
      <c r="BC902" s="3" t="n"/>
      <c r="BD902" s="3" t="n"/>
      <c r="BE902" s="3" t="n"/>
      <c r="BF902" s="3" t="n"/>
      <c r="BG902" s="3" t="n"/>
      <c r="BH902" s="3" t="n"/>
      <c r="BI902" s="3" t="n"/>
      <c r="BJ902" s="3" t="n"/>
      <c r="BK902" s="3" t="n"/>
      <c r="BL902" s="3" t="n"/>
      <c r="BM902" s="3" t="n"/>
      <c r="BN902" s="3" t="n"/>
    </row>
    <row r="903" ht="12" customHeight="1">
      <c r="B903" s="2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4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  <c r="AQ903" s="3" t="n"/>
      <c r="AR903" s="3" t="n"/>
      <c r="AS903" s="3" t="n"/>
      <c r="AT903" s="3" t="n"/>
      <c r="AU903" s="3" t="n"/>
      <c r="AV903" s="7" t="n"/>
      <c r="AW903" s="3" t="n"/>
      <c r="AX903" s="3" t="n"/>
      <c r="AY903" s="3" t="n"/>
      <c r="AZ903" s="3" t="n"/>
      <c r="BA903" s="3" t="n"/>
      <c r="BB903" s="3" t="n"/>
      <c r="BC903" s="3" t="n"/>
      <c r="BD903" s="3" t="n"/>
      <c r="BE903" s="3" t="n"/>
      <c r="BF903" s="3" t="n"/>
      <c r="BG903" s="3" t="n"/>
      <c r="BH903" s="3" t="n"/>
      <c r="BI903" s="3" t="n"/>
      <c r="BJ903" s="3" t="n"/>
      <c r="BK903" s="3" t="n"/>
      <c r="BL903" s="3" t="n"/>
      <c r="BM903" s="3" t="n"/>
      <c r="BN903" s="3" t="n"/>
    </row>
    <row r="904" ht="12" customHeight="1">
      <c r="B904" s="2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4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7" t="n"/>
      <c r="AW904" s="3" t="n"/>
      <c r="AX904" s="3" t="n"/>
      <c r="AY904" s="3" t="n"/>
      <c r="AZ904" s="3" t="n"/>
      <c r="BA904" s="3" t="n"/>
      <c r="BB904" s="3" t="n"/>
      <c r="BC904" s="3" t="n"/>
      <c r="BD904" s="3" t="n"/>
      <c r="BE904" s="3" t="n"/>
      <c r="BF904" s="3" t="n"/>
      <c r="BG904" s="3" t="n"/>
      <c r="BH904" s="3" t="n"/>
      <c r="BI904" s="3" t="n"/>
      <c r="BJ904" s="3" t="n"/>
      <c r="BK904" s="3" t="n"/>
      <c r="BL904" s="3" t="n"/>
      <c r="BM904" s="3" t="n"/>
      <c r="BN904" s="3" t="n"/>
    </row>
    <row r="905" ht="12" customHeight="1">
      <c r="B905" s="2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4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  <c r="AQ905" s="3" t="n"/>
      <c r="AR905" s="3" t="n"/>
      <c r="AS905" s="3" t="n"/>
      <c r="AT905" s="3" t="n"/>
      <c r="AU905" s="3" t="n"/>
      <c r="AV905" s="7" t="n"/>
      <c r="AW905" s="3" t="n"/>
      <c r="AX905" s="3" t="n"/>
      <c r="AY905" s="3" t="n"/>
      <c r="AZ905" s="3" t="n"/>
      <c r="BA905" s="3" t="n"/>
      <c r="BB905" s="3" t="n"/>
      <c r="BC905" s="3" t="n"/>
      <c r="BD905" s="3" t="n"/>
      <c r="BE905" s="3" t="n"/>
      <c r="BF905" s="3" t="n"/>
      <c r="BG905" s="3" t="n"/>
      <c r="BH905" s="3" t="n"/>
      <c r="BI905" s="3" t="n"/>
      <c r="BJ905" s="3" t="n"/>
      <c r="BK905" s="3" t="n"/>
      <c r="BL905" s="3" t="n"/>
      <c r="BM905" s="3" t="n"/>
      <c r="BN905" s="3" t="n"/>
    </row>
    <row r="906" ht="12" customHeight="1">
      <c r="B906" s="2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4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7" t="n"/>
      <c r="AW906" s="3" t="n"/>
      <c r="AX906" s="3" t="n"/>
      <c r="AY906" s="3" t="n"/>
      <c r="AZ906" s="3" t="n"/>
      <c r="BA906" s="3" t="n"/>
      <c r="BB906" s="3" t="n"/>
      <c r="BC906" s="3" t="n"/>
      <c r="BD906" s="3" t="n"/>
      <c r="BE906" s="3" t="n"/>
      <c r="BF906" s="3" t="n"/>
      <c r="BG906" s="3" t="n"/>
      <c r="BH906" s="3" t="n"/>
      <c r="BI906" s="3" t="n"/>
      <c r="BJ906" s="3" t="n"/>
      <c r="BK906" s="3" t="n"/>
      <c r="BL906" s="3" t="n"/>
      <c r="BM906" s="3" t="n"/>
      <c r="BN906" s="3" t="n"/>
    </row>
    <row r="907" ht="12" customHeight="1">
      <c r="B907" s="2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4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  <c r="AQ907" s="3" t="n"/>
      <c r="AR907" s="3" t="n"/>
      <c r="AS907" s="3" t="n"/>
      <c r="AT907" s="3" t="n"/>
      <c r="AU907" s="3" t="n"/>
      <c r="AV907" s="7" t="n"/>
      <c r="AW907" s="3" t="n"/>
      <c r="AX907" s="3" t="n"/>
      <c r="AY907" s="3" t="n"/>
      <c r="AZ907" s="3" t="n"/>
      <c r="BA907" s="3" t="n"/>
      <c r="BB907" s="3" t="n"/>
      <c r="BC907" s="3" t="n"/>
      <c r="BD907" s="3" t="n"/>
      <c r="BE907" s="3" t="n"/>
      <c r="BF907" s="3" t="n"/>
      <c r="BG907" s="3" t="n"/>
      <c r="BH907" s="3" t="n"/>
      <c r="BI907" s="3" t="n"/>
      <c r="BJ907" s="3" t="n"/>
      <c r="BK907" s="3" t="n"/>
      <c r="BL907" s="3" t="n"/>
      <c r="BM907" s="3" t="n"/>
      <c r="BN907" s="3" t="n"/>
    </row>
    <row r="908" ht="12" customHeight="1">
      <c r="B908" s="2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4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7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</row>
    <row r="909" ht="12" customHeight="1">
      <c r="B909" s="2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4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7" t="n"/>
      <c r="AW909" s="3" t="n"/>
      <c r="AX909" s="3" t="n"/>
      <c r="AY909" s="3" t="n"/>
      <c r="AZ909" s="3" t="n"/>
      <c r="BA909" s="3" t="n"/>
      <c r="BB909" s="3" t="n"/>
      <c r="BC909" s="3" t="n"/>
      <c r="BD909" s="3" t="n"/>
      <c r="BE909" s="3" t="n"/>
      <c r="BF909" s="3" t="n"/>
      <c r="BG909" s="3" t="n"/>
      <c r="BH909" s="3" t="n"/>
      <c r="BI909" s="3" t="n"/>
      <c r="BJ909" s="3" t="n"/>
      <c r="BK909" s="3" t="n"/>
      <c r="BL909" s="3" t="n"/>
      <c r="BM909" s="3" t="n"/>
      <c r="BN909" s="3" t="n"/>
    </row>
    <row r="910" ht="12" customHeight="1">
      <c r="B910" s="2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4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7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N910" s="3" t="n"/>
    </row>
    <row r="911" ht="12" customHeight="1">
      <c r="B911" s="2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4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7" t="n"/>
      <c r="AW911" s="3" t="n"/>
      <c r="AX911" s="3" t="n"/>
      <c r="AY911" s="3" t="n"/>
      <c r="AZ911" s="3" t="n"/>
      <c r="BA911" s="3" t="n"/>
      <c r="BB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N911" s="3" t="n"/>
    </row>
    <row r="912" ht="12" customHeight="1">
      <c r="B912" s="2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4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7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</row>
    <row r="913" ht="12" customHeight="1">
      <c r="B913" s="2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4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7" t="n"/>
      <c r="AW913" s="3" t="n"/>
      <c r="AX913" s="3" t="n"/>
      <c r="AY913" s="3" t="n"/>
      <c r="AZ913" s="3" t="n"/>
      <c r="BA913" s="3" t="n"/>
      <c r="BB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N913" s="3" t="n"/>
    </row>
    <row r="914" ht="12" customHeight="1">
      <c r="B914" s="2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4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7" t="n"/>
      <c r="AW914" s="3" t="n"/>
      <c r="AX914" s="3" t="n"/>
      <c r="AY914" s="3" t="n"/>
      <c r="AZ914" s="3" t="n"/>
      <c r="BA914" s="3" t="n"/>
      <c r="BB914" s="3" t="n"/>
      <c r="BC914" s="3" t="n"/>
      <c r="BD914" s="3" t="n"/>
      <c r="BE914" s="3" t="n"/>
      <c r="BF914" s="3" t="n"/>
      <c r="BG914" s="3" t="n"/>
      <c r="BH914" s="3" t="n"/>
      <c r="BI914" s="3" t="n"/>
      <c r="BJ914" s="3" t="n"/>
      <c r="BK914" s="3" t="n"/>
      <c r="BL914" s="3" t="n"/>
      <c r="BM914" s="3" t="n"/>
      <c r="BN914" s="3" t="n"/>
    </row>
    <row r="915" ht="12" customHeight="1">
      <c r="B915" s="2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4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  <c r="AQ915" s="3" t="n"/>
      <c r="AR915" s="3" t="n"/>
      <c r="AS915" s="3" t="n"/>
      <c r="AT915" s="3" t="n"/>
      <c r="AU915" s="3" t="n"/>
      <c r="AV915" s="7" t="n"/>
      <c r="AW915" s="3" t="n"/>
      <c r="AX915" s="3" t="n"/>
      <c r="AY915" s="3" t="n"/>
      <c r="AZ915" s="3" t="n"/>
      <c r="BA915" s="3" t="n"/>
      <c r="BB915" s="3" t="n"/>
      <c r="BC915" s="3" t="n"/>
      <c r="BD915" s="3" t="n"/>
      <c r="BE915" s="3" t="n"/>
      <c r="BF915" s="3" t="n"/>
      <c r="BG915" s="3" t="n"/>
      <c r="BH915" s="3" t="n"/>
      <c r="BI915" s="3" t="n"/>
      <c r="BJ915" s="3" t="n"/>
      <c r="BK915" s="3" t="n"/>
      <c r="BL915" s="3" t="n"/>
      <c r="BM915" s="3" t="n"/>
      <c r="BN915" s="3" t="n"/>
    </row>
    <row r="916" ht="12" customHeight="1">
      <c r="B916" s="2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4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7" t="n"/>
      <c r="AW916" s="3" t="n"/>
      <c r="AX916" s="3" t="n"/>
      <c r="AY916" s="3" t="n"/>
      <c r="AZ916" s="3" t="n"/>
      <c r="BA916" s="3" t="n"/>
      <c r="BB916" s="3" t="n"/>
      <c r="BC916" s="3" t="n"/>
      <c r="BD916" s="3" t="n"/>
      <c r="BE916" s="3" t="n"/>
      <c r="BF916" s="3" t="n"/>
      <c r="BG916" s="3" t="n"/>
      <c r="BH916" s="3" t="n"/>
      <c r="BI916" s="3" t="n"/>
      <c r="BJ916" s="3" t="n"/>
      <c r="BK916" s="3" t="n"/>
      <c r="BL916" s="3" t="n"/>
      <c r="BM916" s="3" t="n"/>
      <c r="BN916" s="3" t="n"/>
    </row>
    <row r="917" ht="12" customHeight="1">
      <c r="B917" s="2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4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  <c r="AQ917" s="3" t="n"/>
      <c r="AR917" s="3" t="n"/>
      <c r="AS917" s="3" t="n"/>
      <c r="AT917" s="3" t="n"/>
      <c r="AU917" s="3" t="n"/>
      <c r="AV917" s="7" t="n"/>
      <c r="AW917" s="3" t="n"/>
      <c r="AX917" s="3" t="n"/>
      <c r="AY917" s="3" t="n"/>
      <c r="AZ917" s="3" t="n"/>
      <c r="BA917" s="3" t="n"/>
      <c r="BB917" s="3" t="n"/>
      <c r="BC917" s="3" t="n"/>
      <c r="BD917" s="3" t="n"/>
      <c r="BE917" s="3" t="n"/>
      <c r="BF917" s="3" t="n"/>
      <c r="BG917" s="3" t="n"/>
      <c r="BH917" s="3" t="n"/>
      <c r="BI917" s="3" t="n"/>
      <c r="BJ917" s="3" t="n"/>
      <c r="BK917" s="3" t="n"/>
      <c r="BL917" s="3" t="n"/>
      <c r="BM917" s="3" t="n"/>
      <c r="BN917" s="3" t="n"/>
    </row>
    <row r="918" ht="12" customHeight="1">
      <c r="B918" s="2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4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7" t="n"/>
      <c r="AW918" s="3" t="n"/>
      <c r="AX918" s="3" t="n"/>
      <c r="AY918" s="3" t="n"/>
      <c r="AZ918" s="3" t="n"/>
      <c r="BA918" s="3" t="n"/>
      <c r="BB918" s="3" t="n"/>
      <c r="BC918" s="3" t="n"/>
      <c r="BD918" s="3" t="n"/>
      <c r="BE918" s="3" t="n"/>
      <c r="BF918" s="3" t="n"/>
      <c r="BG918" s="3" t="n"/>
      <c r="BH918" s="3" t="n"/>
      <c r="BI918" s="3" t="n"/>
      <c r="BJ918" s="3" t="n"/>
      <c r="BK918" s="3" t="n"/>
      <c r="BL918" s="3" t="n"/>
      <c r="BM918" s="3" t="n"/>
      <c r="BN918" s="3" t="n"/>
    </row>
    <row r="919" ht="12" customHeight="1">
      <c r="B919" s="2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4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  <c r="AQ919" s="3" t="n"/>
      <c r="AR919" s="3" t="n"/>
      <c r="AS919" s="3" t="n"/>
      <c r="AT919" s="3" t="n"/>
      <c r="AU919" s="3" t="n"/>
      <c r="AV919" s="7" t="n"/>
      <c r="AW919" s="3" t="n"/>
      <c r="AX919" s="3" t="n"/>
      <c r="AY919" s="3" t="n"/>
      <c r="AZ919" s="3" t="n"/>
      <c r="BA919" s="3" t="n"/>
      <c r="BB919" s="3" t="n"/>
      <c r="BC919" s="3" t="n"/>
      <c r="BD919" s="3" t="n"/>
      <c r="BE919" s="3" t="n"/>
      <c r="BF919" s="3" t="n"/>
      <c r="BG919" s="3" t="n"/>
      <c r="BH919" s="3" t="n"/>
      <c r="BI919" s="3" t="n"/>
      <c r="BJ919" s="3" t="n"/>
      <c r="BK919" s="3" t="n"/>
      <c r="BL919" s="3" t="n"/>
      <c r="BM919" s="3" t="n"/>
      <c r="BN919" s="3" t="n"/>
    </row>
    <row r="920" ht="12" customHeight="1">
      <c r="B920" s="2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4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7" t="n"/>
      <c r="AW920" s="3" t="n"/>
      <c r="AX920" s="3" t="n"/>
      <c r="AY920" s="3" t="n"/>
      <c r="AZ920" s="3" t="n"/>
      <c r="BA920" s="3" t="n"/>
      <c r="BB920" s="3" t="n"/>
      <c r="BC920" s="3" t="n"/>
      <c r="BD920" s="3" t="n"/>
      <c r="BE920" s="3" t="n"/>
      <c r="BF920" s="3" t="n"/>
      <c r="BG920" s="3" t="n"/>
      <c r="BH920" s="3" t="n"/>
      <c r="BI920" s="3" t="n"/>
      <c r="BJ920" s="3" t="n"/>
      <c r="BK920" s="3" t="n"/>
      <c r="BL920" s="3" t="n"/>
      <c r="BM920" s="3" t="n"/>
      <c r="BN920" s="3" t="n"/>
    </row>
    <row r="921" ht="12" customHeight="1">
      <c r="B921" s="2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4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  <c r="AQ921" s="3" t="n"/>
      <c r="AR921" s="3" t="n"/>
      <c r="AS921" s="3" t="n"/>
      <c r="AT921" s="3" t="n"/>
      <c r="AU921" s="3" t="n"/>
      <c r="AV921" s="7" t="n"/>
      <c r="AW921" s="3" t="n"/>
      <c r="AX921" s="3" t="n"/>
      <c r="AY921" s="3" t="n"/>
      <c r="AZ921" s="3" t="n"/>
      <c r="BA921" s="3" t="n"/>
      <c r="BB921" s="3" t="n"/>
      <c r="BC921" s="3" t="n"/>
      <c r="BD921" s="3" t="n"/>
      <c r="BE921" s="3" t="n"/>
      <c r="BF921" s="3" t="n"/>
      <c r="BG921" s="3" t="n"/>
      <c r="BH921" s="3" t="n"/>
      <c r="BI921" s="3" t="n"/>
      <c r="BJ921" s="3" t="n"/>
      <c r="BK921" s="3" t="n"/>
      <c r="BL921" s="3" t="n"/>
      <c r="BM921" s="3" t="n"/>
      <c r="BN921" s="3" t="n"/>
    </row>
    <row r="922" ht="12" customHeight="1">
      <c r="B922" s="2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4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7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</row>
    <row r="923" ht="12" customHeight="1">
      <c r="B923" s="2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4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  <c r="AQ923" s="3" t="n"/>
      <c r="AR923" s="3" t="n"/>
      <c r="AS923" s="3" t="n"/>
      <c r="AT923" s="3" t="n"/>
      <c r="AU923" s="3" t="n"/>
      <c r="AV923" s="7" t="n"/>
      <c r="AW923" s="3" t="n"/>
      <c r="AX923" s="3" t="n"/>
      <c r="AY923" s="3" t="n"/>
      <c r="AZ923" s="3" t="n"/>
      <c r="BA923" s="3" t="n"/>
      <c r="BB923" s="3" t="n"/>
      <c r="BC923" s="3" t="n"/>
      <c r="BD923" s="3" t="n"/>
      <c r="BE923" s="3" t="n"/>
      <c r="BF923" s="3" t="n"/>
      <c r="BG923" s="3" t="n"/>
      <c r="BH923" s="3" t="n"/>
      <c r="BI923" s="3" t="n"/>
      <c r="BJ923" s="3" t="n"/>
      <c r="BK923" s="3" t="n"/>
      <c r="BL923" s="3" t="n"/>
      <c r="BM923" s="3" t="n"/>
      <c r="BN923" s="3" t="n"/>
    </row>
    <row r="924" ht="12" customHeight="1">
      <c r="B924" s="2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4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7" t="n"/>
      <c r="AW924" s="3" t="n"/>
      <c r="AX924" s="3" t="n"/>
      <c r="AY924" s="3" t="n"/>
      <c r="AZ924" s="3" t="n"/>
      <c r="BA924" s="3" t="n"/>
      <c r="BB924" s="3" t="n"/>
      <c r="BC924" s="3" t="n"/>
      <c r="BD924" s="3" t="n"/>
      <c r="BE924" s="3" t="n"/>
      <c r="BF924" s="3" t="n"/>
      <c r="BG924" s="3" t="n"/>
      <c r="BH924" s="3" t="n"/>
      <c r="BI924" s="3" t="n"/>
      <c r="BJ924" s="3" t="n"/>
      <c r="BK924" s="3" t="n"/>
      <c r="BL924" s="3" t="n"/>
      <c r="BM924" s="3" t="n"/>
      <c r="BN924" s="3" t="n"/>
    </row>
    <row r="925" ht="12" customHeight="1">
      <c r="B925" s="2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4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  <c r="AQ925" s="3" t="n"/>
      <c r="AR925" s="3" t="n"/>
      <c r="AS925" s="3" t="n"/>
      <c r="AT925" s="3" t="n"/>
      <c r="AU925" s="3" t="n"/>
      <c r="AV925" s="7" t="n"/>
      <c r="AW925" s="3" t="n"/>
      <c r="AX925" s="3" t="n"/>
      <c r="AY925" s="3" t="n"/>
      <c r="AZ925" s="3" t="n"/>
      <c r="BA925" s="3" t="n"/>
      <c r="BB925" s="3" t="n"/>
      <c r="BC925" s="3" t="n"/>
      <c r="BD925" s="3" t="n"/>
      <c r="BE925" s="3" t="n"/>
      <c r="BF925" s="3" t="n"/>
      <c r="BG925" s="3" t="n"/>
      <c r="BH925" s="3" t="n"/>
      <c r="BI925" s="3" t="n"/>
      <c r="BJ925" s="3" t="n"/>
      <c r="BK925" s="3" t="n"/>
      <c r="BL925" s="3" t="n"/>
      <c r="BM925" s="3" t="n"/>
      <c r="BN925" s="3" t="n"/>
    </row>
    <row r="926" ht="12" customHeight="1">
      <c r="B926" s="2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4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7" t="n"/>
      <c r="AW926" s="3" t="n"/>
      <c r="AX926" s="3" t="n"/>
      <c r="AY926" s="3" t="n"/>
      <c r="AZ926" s="3" t="n"/>
      <c r="BA926" s="3" t="n"/>
      <c r="BB926" s="3" t="n"/>
      <c r="BC926" s="3" t="n"/>
      <c r="BD926" s="3" t="n"/>
      <c r="BE926" s="3" t="n"/>
      <c r="BF926" s="3" t="n"/>
      <c r="BG926" s="3" t="n"/>
      <c r="BH926" s="3" t="n"/>
      <c r="BI926" s="3" t="n"/>
      <c r="BJ926" s="3" t="n"/>
      <c r="BK926" s="3" t="n"/>
      <c r="BL926" s="3" t="n"/>
      <c r="BM926" s="3" t="n"/>
      <c r="BN926" s="3" t="n"/>
    </row>
    <row r="927" ht="12" customHeight="1">
      <c r="B927" s="2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4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  <c r="AQ927" s="3" t="n"/>
      <c r="AR927" s="3" t="n"/>
      <c r="AS927" s="3" t="n"/>
      <c r="AT927" s="3" t="n"/>
      <c r="AU927" s="3" t="n"/>
      <c r="AV927" s="7" t="n"/>
      <c r="AW927" s="3" t="n"/>
      <c r="AX927" s="3" t="n"/>
      <c r="AY927" s="3" t="n"/>
      <c r="AZ927" s="3" t="n"/>
      <c r="BA927" s="3" t="n"/>
      <c r="BB927" s="3" t="n"/>
      <c r="BC927" s="3" t="n"/>
      <c r="BD927" s="3" t="n"/>
      <c r="BE927" s="3" t="n"/>
      <c r="BF927" s="3" t="n"/>
      <c r="BG927" s="3" t="n"/>
      <c r="BH927" s="3" t="n"/>
      <c r="BI927" s="3" t="n"/>
      <c r="BJ927" s="3" t="n"/>
      <c r="BK927" s="3" t="n"/>
      <c r="BL927" s="3" t="n"/>
      <c r="BM927" s="3" t="n"/>
      <c r="BN927" s="3" t="n"/>
    </row>
    <row r="928" ht="12" customHeight="1">
      <c r="B928" s="2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4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7" t="n"/>
      <c r="AW928" s="3" t="n"/>
      <c r="AX928" s="3" t="n"/>
      <c r="AY928" s="3" t="n"/>
      <c r="AZ928" s="3" t="n"/>
      <c r="BA928" s="3" t="n"/>
      <c r="BB928" s="3" t="n"/>
      <c r="BC928" s="3" t="n"/>
      <c r="BD928" s="3" t="n"/>
      <c r="BE928" s="3" t="n"/>
      <c r="BF928" s="3" t="n"/>
      <c r="BG928" s="3" t="n"/>
      <c r="BH928" s="3" t="n"/>
      <c r="BI928" s="3" t="n"/>
      <c r="BJ928" s="3" t="n"/>
      <c r="BK928" s="3" t="n"/>
      <c r="BL928" s="3" t="n"/>
      <c r="BM928" s="3" t="n"/>
      <c r="BN928" s="3" t="n"/>
    </row>
    <row r="929" ht="12" customHeight="1">
      <c r="B929" s="2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4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  <c r="AQ929" s="3" t="n"/>
      <c r="AR929" s="3" t="n"/>
      <c r="AS929" s="3" t="n"/>
      <c r="AT929" s="3" t="n"/>
      <c r="AU929" s="3" t="n"/>
      <c r="AV929" s="7" t="n"/>
      <c r="AW929" s="3" t="n"/>
      <c r="AX929" s="3" t="n"/>
      <c r="AY929" s="3" t="n"/>
      <c r="AZ929" s="3" t="n"/>
      <c r="BA929" s="3" t="n"/>
      <c r="BB929" s="3" t="n"/>
      <c r="BC929" s="3" t="n"/>
      <c r="BD929" s="3" t="n"/>
      <c r="BE929" s="3" t="n"/>
      <c r="BF929" s="3" t="n"/>
      <c r="BG929" s="3" t="n"/>
      <c r="BH929" s="3" t="n"/>
      <c r="BI929" s="3" t="n"/>
      <c r="BJ929" s="3" t="n"/>
      <c r="BK929" s="3" t="n"/>
      <c r="BL929" s="3" t="n"/>
      <c r="BM929" s="3" t="n"/>
      <c r="BN929" s="3" t="n"/>
    </row>
    <row r="930" ht="12" customHeight="1">
      <c r="B930" s="2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4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7" t="n"/>
      <c r="AW930" s="3" t="n"/>
      <c r="AX930" s="3" t="n"/>
      <c r="AY930" s="3" t="n"/>
      <c r="AZ930" s="3" t="n"/>
      <c r="BA930" s="3" t="n"/>
      <c r="BB930" s="3" t="n"/>
      <c r="BC930" s="3" t="n"/>
      <c r="BD930" s="3" t="n"/>
      <c r="BE930" s="3" t="n"/>
      <c r="BF930" s="3" t="n"/>
      <c r="BG930" s="3" t="n"/>
      <c r="BH930" s="3" t="n"/>
      <c r="BI930" s="3" t="n"/>
      <c r="BJ930" s="3" t="n"/>
      <c r="BK930" s="3" t="n"/>
      <c r="BL930" s="3" t="n"/>
      <c r="BM930" s="3" t="n"/>
      <c r="BN930" s="3" t="n"/>
    </row>
    <row r="931" ht="12" customHeight="1">
      <c r="B931" s="2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4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  <c r="AQ931" s="3" t="n"/>
      <c r="AR931" s="3" t="n"/>
      <c r="AS931" s="3" t="n"/>
      <c r="AT931" s="3" t="n"/>
      <c r="AU931" s="3" t="n"/>
      <c r="AV931" s="7" t="n"/>
      <c r="AW931" s="3" t="n"/>
      <c r="AX931" s="3" t="n"/>
      <c r="AY931" s="3" t="n"/>
      <c r="AZ931" s="3" t="n"/>
      <c r="BA931" s="3" t="n"/>
      <c r="BB931" s="3" t="n"/>
      <c r="BC931" s="3" t="n"/>
      <c r="BD931" s="3" t="n"/>
      <c r="BE931" s="3" t="n"/>
      <c r="BF931" s="3" t="n"/>
      <c r="BG931" s="3" t="n"/>
      <c r="BH931" s="3" t="n"/>
      <c r="BI931" s="3" t="n"/>
      <c r="BJ931" s="3" t="n"/>
      <c r="BK931" s="3" t="n"/>
      <c r="BL931" s="3" t="n"/>
      <c r="BM931" s="3" t="n"/>
      <c r="BN931" s="3" t="n"/>
    </row>
    <row r="932" ht="12" customHeight="1">
      <c r="B932" s="2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4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7" t="n"/>
      <c r="AW932" s="3" t="n"/>
      <c r="AX932" s="3" t="n"/>
      <c r="AY932" s="3" t="n"/>
      <c r="AZ932" s="3" t="n"/>
      <c r="BA932" s="3" t="n"/>
      <c r="BB932" s="3" t="n"/>
      <c r="BC932" s="3" t="n"/>
      <c r="BD932" s="3" t="n"/>
      <c r="BE932" s="3" t="n"/>
      <c r="BF932" s="3" t="n"/>
      <c r="BG932" s="3" t="n"/>
      <c r="BH932" s="3" t="n"/>
      <c r="BI932" s="3" t="n"/>
      <c r="BJ932" s="3" t="n"/>
      <c r="BK932" s="3" t="n"/>
      <c r="BL932" s="3" t="n"/>
      <c r="BM932" s="3" t="n"/>
      <c r="BN932" s="3" t="n"/>
    </row>
    <row r="933" ht="12" customHeight="1">
      <c r="B933" s="2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4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  <c r="AQ933" s="3" t="n"/>
      <c r="AR933" s="3" t="n"/>
      <c r="AS933" s="3" t="n"/>
      <c r="AT933" s="3" t="n"/>
      <c r="AU933" s="3" t="n"/>
      <c r="AV933" s="7" t="n"/>
      <c r="AW933" s="3" t="n"/>
      <c r="AX933" s="3" t="n"/>
      <c r="AY933" s="3" t="n"/>
      <c r="AZ933" s="3" t="n"/>
      <c r="BA933" s="3" t="n"/>
      <c r="BB933" s="3" t="n"/>
      <c r="BC933" s="3" t="n"/>
      <c r="BD933" s="3" t="n"/>
      <c r="BE933" s="3" t="n"/>
      <c r="BF933" s="3" t="n"/>
      <c r="BG933" s="3" t="n"/>
      <c r="BH933" s="3" t="n"/>
      <c r="BI933" s="3" t="n"/>
      <c r="BJ933" s="3" t="n"/>
      <c r="BK933" s="3" t="n"/>
      <c r="BL933" s="3" t="n"/>
      <c r="BM933" s="3" t="n"/>
      <c r="BN933" s="3" t="n"/>
    </row>
    <row r="934" ht="12" customHeight="1">
      <c r="B934" s="2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4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7" t="n"/>
      <c r="AW934" s="3" t="n"/>
      <c r="AX934" s="3" t="n"/>
      <c r="AY934" s="3" t="n"/>
      <c r="AZ934" s="3" t="n"/>
      <c r="BA934" s="3" t="n"/>
      <c r="BB934" s="3" t="n"/>
      <c r="BC934" s="3" t="n"/>
      <c r="BD934" s="3" t="n"/>
      <c r="BE934" s="3" t="n"/>
      <c r="BF934" s="3" t="n"/>
      <c r="BG934" s="3" t="n"/>
      <c r="BH934" s="3" t="n"/>
      <c r="BI934" s="3" t="n"/>
      <c r="BJ934" s="3" t="n"/>
      <c r="BK934" s="3" t="n"/>
      <c r="BL934" s="3" t="n"/>
      <c r="BM934" s="3" t="n"/>
      <c r="BN934" s="3" t="n"/>
    </row>
    <row r="935" ht="12" customHeight="1">
      <c r="B935" s="2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4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  <c r="AQ935" s="3" t="n"/>
      <c r="AR935" s="3" t="n"/>
      <c r="AS935" s="3" t="n"/>
      <c r="AT935" s="3" t="n"/>
      <c r="AU935" s="3" t="n"/>
      <c r="AV935" s="7" t="n"/>
      <c r="AW935" s="3" t="n"/>
      <c r="AX935" s="3" t="n"/>
      <c r="AY935" s="3" t="n"/>
      <c r="AZ935" s="3" t="n"/>
      <c r="BA935" s="3" t="n"/>
      <c r="BB935" s="3" t="n"/>
      <c r="BC935" s="3" t="n"/>
      <c r="BD935" s="3" t="n"/>
      <c r="BE935" s="3" t="n"/>
      <c r="BF935" s="3" t="n"/>
      <c r="BG935" s="3" t="n"/>
      <c r="BH935" s="3" t="n"/>
      <c r="BI935" s="3" t="n"/>
      <c r="BJ935" s="3" t="n"/>
      <c r="BK935" s="3" t="n"/>
      <c r="BL935" s="3" t="n"/>
      <c r="BM935" s="3" t="n"/>
      <c r="BN935" s="3" t="n"/>
    </row>
    <row r="936" ht="12" customHeight="1">
      <c r="B936" s="2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4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7" t="n"/>
      <c r="AW936" s="3" t="n"/>
      <c r="AX936" s="3" t="n"/>
      <c r="AY936" s="3" t="n"/>
      <c r="AZ936" s="3" t="n"/>
      <c r="BA936" s="3" t="n"/>
      <c r="BB936" s="3" t="n"/>
      <c r="BC936" s="3" t="n"/>
      <c r="BD936" s="3" t="n"/>
      <c r="BE936" s="3" t="n"/>
      <c r="BF936" s="3" t="n"/>
      <c r="BG936" s="3" t="n"/>
      <c r="BH936" s="3" t="n"/>
      <c r="BI936" s="3" t="n"/>
      <c r="BJ936" s="3" t="n"/>
      <c r="BK936" s="3" t="n"/>
      <c r="BL936" s="3" t="n"/>
      <c r="BM936" s="3" t="n"/>
      <c r="BN936" s="3" t="n"/>
    </row>
    <row r="937" ht="12" customHeight="1">
      <c r="B937" s="2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4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  <c r="AQ937" s="3" t="n"/>
      <c r="AR937" s="3" t="n"/>
      <c r="AS937" s="3" t="n"/>
      <c r="AT937" s="3" t="n"/>
      <c r="AU937" s="3" t="n"/>
      <c r="AV937" s="7" t="n"/>
      <c r="AW937" s="3" t="n"/>
      <c r="AX937" s="3" t="n"/>
      <c r="AY937" s="3" t="n"/>
      <c r="AZ937" s="3" t="n"/>
      <c r="BA937" s="3" t="n"/>
      <c r="BB937" s="3" t="n"/>
      <c r="BC937" s="3" t="n"/>
      <c r="BD937" s="3" t="n"/>
      <c r="BE937" s="3" t="n"/>
      <c r="BF937" s="3" t="n"/>
      <c r="BG937" s="3" t="n"/>
      <c r="BH937" s="3" t="n"/>
      <c r="BI937" s="3" t="n"/>
      <c r="BJ937" s="3" t="n"/>
      <c r="BK937" s="3" t="n"/>
      <c r="BL937" s="3" t="n"/>
      <c r="BM937" s="3" t="n"/>
      <c r="BN937" s="3" t="n"/>
    </row>
    <row r="938" ht="12" customHeight="1">
      <c r="B938" s="2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4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7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</row>
    <row r="939" ht="12" customHeight="1">
      <c r="B939" s="2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4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7" t="n"/>
      <c r="AW939" s="3" t="n"/>
      <c r="AX939" s="3" t="n"/>
      <c r="AY939" s="3" t="n"/>
      <c r="AZ939" s="3" t="n"/>
      <c r="BA939" s="3" t="n"/>
      <c r="BB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N939" s="3" t="n"/>
    </row>
    <row r="940" ht="12" customHeight="1">
      <c r="B940" s="2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4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7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</row>
    <row r="941" ht="12" customHeight="1">
      <c r="B941" s="2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4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7" t="n"/>
      <c r="AW941" s="3" t="n"/>
      <c r="AX941" s="3" t="n"/>
      <c r="AY941" s="3" t="n"/>
      <c r="AZ941" s="3" t="n"/>
      <c r="BA941" s="3" t="n"/>
      <c r="BB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N941" s="3" t="n"/>
    </row>
    <row r="942" ht="12" customHeight="1">
      <c r="B942" s="2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4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7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</row>
    <row r="943" ht="12" customHeight="1">
      <c r="B943" s="2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4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7" t="n"/>
      <c r="AW943" s="3" t="n"/>
      <c r="AX943" s="3" t="n"/>
      <c r="AY943" s="3" t="n"/>
      <c r="AZ943" s="3" t="n"/>
      <c r="BA943" s="3" t="n"/>
      <c r="BB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N943" s="3" t="n"/>
    </row>
    <row r="944" ht="12" customHeight="1">
      <c r="B944" s="2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4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7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N944" s="3" t="n"/>
    </row>
    <row r="945" ht="12" customHeight="1">
      <c r="B945" s="2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4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  <c r="AQ945" s="3" t="n"/>
      <c r="AR945" s="3" t="n"/>
      <c r="AS945" s="3" t="n"/>
      <c r="AT945" s="3" t="n"/>
      <c r="AU945" s="3" t="n"/>
      <c r="AV945" s="7" t="n"/>
      <c r="AW945" s="3" t="n"/>
      <c r="AX945" s="3" t="n"/>
      <c r="AY945" s="3" t="n"/>
      <c r="AZ945" s="3" t="n"/>
      <c r="BA945" s="3" t="n"/>
      <c r="BB945" s="3" t="n"/>
      <c r="BC945" s="3" t="n"/>
      <c r="BD945" s="3" t="n"/>
      <c r="BE945" s="3" t="n"/>
      <c r="BF945" s="3" t="n"/>
      <c r="BG945" s="3" t="n"/>
      <c r="BH945" s="3" t="n"/>
      <c r="BI945" s="3" t="n"/>
      <c r="BJ945" s="3" t="n"/>
      <c r="BK945" s="3" t="n"/>
      <c r="BL945" s="3" t="n"/>
      <c r="BM945" s="3" t="n"/>
      <c r="BN945" s="3" t="n"/>
    </row>
    <row r="946" ht="12" customHeight="1">
      <c r="B946" s="2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4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7" t="n"/>
      <c r="AW946" s="3" t="n"/>
      <c r="AX946" s="3" t="n"/>
      <c r="AY946" s="3" t="n"/>
      <c r="AZ946" s="3" t="n"/>
      <c r="BA946" s="3" t="n"/>
      <c r="BB946" s="3" t="n"/>
      <c r="BC946" s="3" t="n"/>
      <c r="BD946" s="3" t="n"/>
      <c r="BE946" s="3" t="n"/>
      <c r="BF946" s="3" t="n"/>
      <c r="BG946" s="3" t="n"/>
      <c r="BH946" s="3" t="n"/>
      <c r="BI946" s="3" t="n"/>
      <c r="BJ946" s="3" t="n"/>
      <c r="BK946" s="3" t="n"/>
      <c r="BL946" s="3" t="n"/>
      <c r="BM946" s="3" t="n"/>
      <c r="BN946" s="3" t="n"/>
    </row>
    <row r="947" ht="12" customHeight="1">
      <c r="B947" s="2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4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  <c r="AQ947" s="3" t="n"/>
      <c r="AR947" s="3" t="n"/>
      <c r="AS947" s="3" t="n"/>
      <c r="AT947" s="3" t="n"/>
      <c r="AU947" s="3" t="n"/>
      <c r="AV947" s="7" t="n"/>
      <c r="AW947" s="3" t="n"/>
      <c r="AX947" s="3" t="n"/>
      <c r="AY947" s="3" t="n"/>
      <c r="AZ947" s="3" t="n"/>
      <c r="BA947" s="3" t="n"/>
      <c r="BB947" s="3" t="n"/>
      <c r="BC947" s="3" t="n"/>
      <c r="BD947" s="3" t="n"/>
      <c r="BE947" s="3" t="n"/>
      <c r="BF947" s="3" t="n"/>
      <c r="BG947" s="3" t="n"/>
      <c r="BH947" s="3" t="n"/>
      <c r="BI947" s="3" t="n"/>
      <c r="BJ947" s="3" t="n"/>
      <c r="BK947" s="3" t="n"/>
      <c r="BL947" s="3" t="n"/>
      <c r="BM947" s="3" t="n"/>
      <c r="BN947" s="3" t="n"/>
    </row>
    <row r="948" ht="12" customHeight="1">
      <c r="B948" s="2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4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7" t="n"/>
      <c r="AW948" s="3" t="n"/>
      <c r="AX948" s="3" t="n"/>
      <c r="AY948" s="3" t="n"/>
      <c r="AZ948" s="3" t="n"/>
      <c r="BA948" s="3" t="n"/>
      <c r="BB948" s="3" t="n"/>
      <c r="BC948" s="3" t="n"/>
      <c r="BD948" s="3" t="n"/>
      <c r="BE948" s="3" t="n"/>
      <c r="BF948" s="3" t="n"/>
      <c r="BG948" s="3" t="n"/>
      <c r="BH948" s="3" t="n"/>
      <c r="BI948" s="3" t="n"/>
      <c r="BJ948" s="3" t="n"/>
      <c r="BK948" s="3" t="n"/>
      <c r="BL948" s="3" t="n"/>
      <c r="BM948" s="3" t="n"/>
      <c r="BN948" s="3" t="n"/>
    </row>
    <row r="949" ht="12" customHeight="1">
      <c r="B949" s="2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4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  <c r="AQ949" s="3" t="n"/>
      <c r="AR949" s="3" t="n"/>
      <c r="AS949" s="3" t="n"/>
      <c r="AT949" s="3" t="n"/>
      <c r="AU949" s="3" t="n"/>
      <c r="AV949" s="7" t="n"/>
      <c r="AW949" s="3" t="n"/>
      <c r="AX949" s="3" t="n"/>
      <c r="AY949" s="3" t="n"/>
      <c r="AZ949" s="3" t="n"/>
      <c r="BA949" s="3" t="n"/>
      <c r="BB949" s="3" t="n"/>
      <c r="BC949" s="3" t="n"/>
      <c r="BD949" s="3" t="n"/>
      <c r="BE949" s="3" t="n"/>
      <c r="BF949" s="3" t="n"/>
      <c r="BG949" s="3" t="n"/>
      <c r="BH949" s="3" t="n"/>
      <c r="BI949" s="3" t="n"/>
      <c r="BJ949" s="3" t="n"/>
      <c r="BK949" s="3" t="n"/>
      <c r="BL949" s="3" t="n"/>
      <c r="BM949" s="3" t="n"/>
      <c r="BN949" s="3" t="n"/>
    </row>
    <row r="950" ht="12" customHeight="1">
      <c r="B950" s="2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4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7" t="n"/>
      <c r="AW950" s="3" t="n"/>
      <c r="AX950" s="3" t="n"/>
      <c r="AY950" s="3" t="n"/>
      <c r="AZ950" s="3" t="n"/>
      <c r="BA950" s="3" t="n"/>
      <c r="BB950" s="3" t="n"/>
      <c r="BC950" s="3" t="n"/>
      <c r="BD950" s="3" t="n"/>
      <c r="BE950" s="3" t="n"/>
      <c r="BF950" s="3" t="n"/>
      <c r="BG950" s="3" t="n"/>
      <c r="BH950" s="3" t="n"/>
      <c r="BI950" s="3" t="n"/>
      <c r="BJ950" s="3" t="n"/>
      <c r="BK950" s="3" t="n"/>
      <c r="BL950" s="3" t="n"/>
      <c r="BM950" s="3" t="n"/>
      <c r="BN950" s="3" t="n"/>
    </row>
    <row r="951" ht="12" customHeight="1">
      <c r="B951" s="2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4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  <c r="AQ951" s="3" t="n"/>
      <c r="AR951" s="3" t="n"/>
      <c r="AS951" s="3" t="n"/>
      <c r="AT951" s="3" t="n"/>
      <c r="AU951" s="3" t="n"/>
      <c r="AV951" s="7" t="n"/>
      <c r="AW951" s="3" t="n"/>
      <c r="AX951" s="3" t="n"/>
      <c r="AY951" s="3" t="n"/>
      <c r="AZ951" s="3" t="n"/>
      <c r="BA951" s="3" t="n"/>
      <c r="BB951" s="3" t="n"/>
      <c r="BC951" s="3" t="n"/>
      <c r="BD951" s="3" t="n"/>
      <c r="BE951" s="3" t="n"/>
      <c r="BF951" s="3" t="n"/>
      <c r="BG951" s="3" t="n"/>
      <c r="BH951" s="3" t="n"/>
      <c r="BI951" s="3" t="n"/>
      <c r="BJ951" s="3" t="n"/>
      <c r="BK951" s="3" t="n"/>
      <c r="BL951" s="3" t="n"/>
      <c r="BM951" s="3" t="n"/>
      <c r="BN951" s="3" t="n"/>
    </row>
    <row r="952" ht="12" customHeight="1">
      <c r="B952" s="2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4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7" t="n"/>
      <c r="AW952" s="3" t="n"/>
      <c r="AX952" s="3" t="n"/>
      <c r="AY952" s="3" t="n"/>
      <c r="AZ952" s="3" t="n"/>
      <c r="BA952" s="3" t="n"/>
      <c r="BB952" s="3" t="n"/>
      <c r="BC952" s="3" t="n"/>
      <c r="BD952" s="3" t="n"/>
      <c r="BE952" s="3" t="n"/>
      <c r="BF952" s="3" t="n"/>
      <c r="BG952" s="3" t="n"/>
      <c r="BH952" s="3" t="n"/>
      <c r="BI952" s="3" t="n"/>
      <c r="BJ952" s="3" t="n"/>
      <c r="BK952" s="3" t="n"/>
      <c r="BL952" s="3" t="n"/>
      <c r="BM952" s="3" t="n"/>
      <c r="BN952" s="3" t="n"/>
    </row>
    <row r="953" ht="12" customHeight="1">
      <c r="B953" s="2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4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  <c r="AQ953" s="3" t="n"/>
      <c r="AR953" s="3" t="n"/>
      <c r="AS953" s="3" t="n"/>
      <c r="AT953" s="3" t="n"/>
      <c r="AU953" s="3" t="n"/>
      <c r="AV953" s="7" t="n"/>
      <c r="AW953" s="3" t="n"/>
      <c r="AX953" s="3" t="n"/>
      <c r="AY953" s="3" t="n"/>
      <c r="AZ953" s="3" t="n"/>
      <c r="BA953" s="3" t="n"/>
      <c r="BB953" s="3" t="n"/>
      <c r="BC953" s="3" t="n"/>
      <c r="BD953" s="3" t="n"/>
      <c r="BE953" s="3" t="n"/>
      <c r="BF953" s="3" t="n"/>
      <c r="BG953" s="3" t="n"/>
      <c r="BH953" s="3" t="n"/>
      <c r="BI953" s="3" t="n"/>
      <c r="BJ953" s="3" t="n"/>
      <c r="BK953" s="3" t="n"/>
      <c r="BL953" s="3" t="n"/>
      <c r="BM953" s="3" t="n"/>
      <c r="BN953" s="3" t="n"/>
    </row>
    <row r="954" ht="12" customHeight="1">
      <c r="B954" s="2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4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7" t="n"/>
      <c r="AW954" s="3" t="n"/>
      <c r="AX954" s="3" t="n"/>
      <c r="AY954" s="3" t="n"/>
      <c r="AZ954" s="3" t="n"/>
      <c r="BA954" s="3" t="n"/>
      <c r="BB954" s="3" t="n"/>
      <c r="BC954" s="3" t="n"/>
      <c r="BD954" s="3" t="n"/>
      <c r="BE954" s="3" t="n"/>
      <c r="BF954" s="3" t="n"/>
      <c r="BG954" s="3" t="n"/>
      <c r="BH954" s="3" t="n"/>
      <c r="BI954" s="3" t="n"/>
      <c r="BJ954" s="3" t="n"/>
      <c r="BK954" s="3" t="n"/>
      <c r="BL954" s="3" t="n"/>
      <c r="BM954" s="3" t="n"/>
      <c r="BN954" s="3" t="n"/>
    </row>
    <row r="955" ht="12" customHeight="1">
      <c r="B955" s="2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4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  <c r="AQ955" s="3" t="n"/>
      <c r="AR955" s="3" t="n"/>
      <c r="AS955" s="3" t="n"/>
      <c r="AT955" s="3" t="n"/>
      <c r="AU955" s="3" t="n"/>
      <c r="AV955" s="7" t="n"/>
      <c r="AW955" s="3" t="n"/>
      <c r="AX955" s="3" t="n"/>
      <c r="AY955" s="3" t="n"/>
      <c r="AZ955" s="3" t="n"/>
      <c r="BA955" s="3" t="n"/>
      <c r="BB955" s="3" t="n"/>
      <c r="BC955" s="3" t="n"/>
      <c r="BD955" s="3" t="n"/>
      <c r="BE955" s="3" t="n"/>
      <c r="BF955" s="3" t="n"/>
      <c r="BG955" s="3" t="n"/>
      <c r="BH955" s="3" t="n"/>
      <c r="BI955" s="3" t="n"/>
      <c r="BJ955" s="3" t="n"/>
      <c r="BK955" s="3" t="n"/>
      <c r="BL955" s="3" t="n"/>
      <c r="BM955" s="3" t="n"/>
      <c r="BN955" s="3" t="n"/>
    </row>
    <row r="956" ht="12" customHeight="1">
      <c r="B956" s="2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4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7" t="n"/>
      <c r="AW956" s="3" t="n"/>
      <c r="AX956" s="3" t="n"/>
      <c r="AY956" s="3" t="n"/>
      <c r="AZ956" s="3" t="n"/>
      <c r="BA956" s="3" t="n"/>
      <c r="BB956" s="3" t="n"/>
      <c r="BC956" s="3" t="n"/>
      <c r="BD956" s="3" t="n"/>
      <c r="BE956" s="3" t="n"/>
      <c r="BF956" s="3" t="n"/>
      <c r="BG956" s="3" t="n"/>
      <c r="BH956" s="3" t="n"/>
      <c r="BI956" s="3" t="n"/>
      <c r="BJ956" s="3" t="n"/>
      <c r="BK956" s="3" t="n"/>
      <c r="BL956" s="3" t="n"/>
      <c r="BM956" s="3" t="n"/>
      <c r="BN956" s="3" t="n"/>
    </row>
    <row r="957" ht="12" customHeight="1">
      <c r="B957" s="2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4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  <c r="AQ957" s="3" t="n"/>
      <c r="AR957" s="3" t="n"/>
      <c r="AS957" s="3" t="n"/>
      <c r="AT957" s="3" t="n"/>
      <c r="AU957" s="3" t="n"/>
      <c r="AV957" s="7" t="n"/>
      <c r="AW957" s="3" t="n"/>
      <c r="AX957" s="3" t="n"/>
      <c r="AY957" s="3" t="n"/>
      <c r="AZ957" s="3" t="n"/>
      <c r="BA957" s="3" t="n"/>
      <c r="BB957" s="3" t="n"/>
      <c r="BC957" s="3" t="n"/>
      <c r="BD957" s="3" t="n"/>
      <c r="BE957" s="3" t="n"/>
      <c r="BF957" s="3" t="n"/>
      <c r="BG957" s="3" t="n"/>
      <c r="BH957" s="3" t="n"/>
      <c r="BI957" s="3" t="n"/>
      <c r="BJ957" s="3" t="n"/>
      <c r="BK957" s="3" t="n"/>
      <c r="BL957" s="3" t="n"/>
      <c r="BM957" s="3" t="n"/>
      <c r="BN957" s="3" t="n"/>
    </row>
    <row r="958" ht="12" customHeight="1">
      <c r="B958" s="2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4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7" t="n"/>
      <c r="AW958" s="3" t="n"/>
      <c r="AX958" s="3" t="n"/>
      <c r="AY958" s="3" t="n"/>
      <c r="AZ958" s="3" t="n"/>
      <c r="BA958" s="3" t="n"/>
      <c r="BB958" s="3" t="n"/>
      <c r="BC958" s="3" t="n"/>
      <c r="BD958" s="3" t="n"/>
      <c r="BE958" s="3" t="n"/>
      <c r="BF958" s="3" t="n"/>
      <c r="BG958" s="3" t="n"/>
      <c r="BH958" s="3" t="n"/>
      <c r="BI958" s="3" t="n"/>
      <c r="BJ958" s="3" t="n"/>
      <c r="BK958" s="3" t="n"/>
      <c r="BL958" s="3" t="n"/>
      <c r="BM958" s="3" t="n"/>
      <c r="BN958" s="3" t="n"/>
    </row>
    <row r="959" ht="12" customHeight="1">
      <c r="B959" s="2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4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  <c r="AQ959" s="3" t="n"/>
      <c r="AR959" s="3" t="n"/>
      <c r="AS959" s="3" t="n"/>
      <c r="AT959" s="3" t="n"/>
      <c r="AU959" s="3" t="n"/>
      <c r="AV959" s="7" t="n"/>
      <c r="AW959" s="3" t="n"/>
      <c r="AX959" s="3" t="n"/>
      <c r="AY959" s="3" t="n"/>
      <c r="AZ959" s="3" t="n"/>
      <c r="BA959" s="3" t="n"/>
      <c r="BB959" s="3" t="n"/>
      <c r="BC959" s="3" t="n"/>
      <c r="BD959" s="3" t="n"/>
      <c r="BE959" s="3" t="n"/>
      <c r="BF959" s="3" t="n"/>
      <c r="BG959" s="3" t="n"/>
      <c r="BH959" s="3" t="n"/>
      <c r="BI959" s="3" t="n"/>
      <c r="BJ959" s="3" t="n"/>
      <c r="BK959" s="3" t="n"/>
      <c r="BL959" s="3" t="n"/>
      <c r="BM959" s="3" t="n"/>
      <c r="BN959" s="3" t="n"/>
    </row>
    <row r="960" ht="12" customHeight="1">
      <c r="B960" s="2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4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7" t="n"/>
      <c r="AW960" s="3" t="n"/>
      <c r="AX960" s="3" t="n"/>
      <c r="AY960" s="3" t="n"/>
      <c r="AZ960" s="3" t="n"/>
      <c r="BA960" s="3" t="n"/>
      <c r="BB960" s="3" t="n"/>
      <c r="BC960" s="3" t="n"/>
      <c r="BD960" s="3" t="n"/>
      <c r="BE960" s="3" t="n"/>
      <c r="BF960" s="3" t="n"/>
      <c r="BG960" s="3" t="n"/>
      <c r="BH960" s="3" t="n"/>
      <c r="BI960" s="3" t="n"/>
      <c r="BJ960" s="3" t="n"/>
      <c r="BK960" s="3" t="n"/>
      <c r="BL960" s="3" t="n"/>
      <c r="BM960" s="3" t="n"/>
      <c r="BN960" s="3" t="n"/>
    </row>
    <row r="961" ht="12" customHeight="1">
      <c r="B961" s="2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4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  <c r="AQ961" s="3" t="n"/>
      <c r="AR961" s="3" t="n"/>
      <c r="AS961" s="3" t="n"/>
      <c r="AT961" s="3" t="n"/>
      <c r="AU961" s="3" t="n"/>
      <c r="AV961" s="7" t="n"/>
      <c r="AW961" s="3" t="n"/>
      <c r="AX961" s="3" t="n"/>
      <c r="AY961" s="3" t="n"/>
      <c r="AZ961" s="3" t="n"/>
      <c r="BA961" s="3" t="n"/>
      <c r="BB961" s="3" t="n"/>
      <c r="BC961" s="3" t="n"/>
      <c r="BD961" s="3" t="n"/>
      <c r="BE961" s="3" t="n"/>
      <c r="BF961" s="3" t="n"/>
      <c r="BG961" s="3" t="n"/>
      <c r="BH961" s="3" t="n"/>
      <c r="BI961" s="3" t="n"/>
      <c r="BJ961" s="3" t="n"/>
      <c r="BK961" s="3" t="n"/>
      <c r="BL961" s="3" t="n"/>
      <c r="BM961" s="3" t="n"/>
      <c r="BN961" s="3" t="n"/>
    </row>
    <row r="962" ht="12" customHeight="1">
      <c r="B962" s="2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4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7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N962" s="3" t="n"/>
    </row>
    <row r="963" ht="12" customHeight="1">
      <c r="B963" s="2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4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7" t="n"/>
      <c r="AW963" s="3" t="n"/>
      <c r="AX963" s="3" t="n"/>
      <c r="AY963" s="3" t="n"/>
      <c r="AZ963" s="3" t="n"/>
      <c r="BA963" s="3" t="n"/>
      <c r="BB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N963" s="3" t="n"/>
    </row>
    <row r="964" ht="12" customHeight="1">
      <c r="B964" s="2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4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7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N964" s="3" t="n"/>
    </row>
    <row r="965" ht="12" customHeight="1">
      <c r="B965" s="2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4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7" t="n"/>
      <c r="AW965" s="3" t="n"/>
      <c r="AX965" s="3" t="n"/>
      <c r="AY965" s="3" t="n"/>
      <c r="AZ965" s="3" t="n"/>
      <c r="BA965" s="3" t="n"/>
      <c r="BB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N965" s="3" t="n"/>
    </row>
    <row r="966" ht="12" customHeight="1">
      <c r="B966" s="2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4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7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</row>
    <row r="967" ht="12" customHeight="1">
      <c r="B967" s="2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4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7" t="n"/>
      <c r="AW967" s="3" t="n"/>
      <c r="AX967" s="3" t="n"/>
      <c r="AY967" s="3" t="n"/>
      <c r="AZ967" s="3" t="n"/>
      <c r="BA967" s="3" t="n"/>
      <c r="BB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N967" s="3" t="n"/>
    </row>
    <row r="968" ht="12" customHeight="1">
      <c r="B968" s="2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4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7" t="n"/>
      <c r="AW968" s="3" t="n"/>
      <c r="AX968" s="3" t="n"/>
      <c r="AY968" s="3" t="n"/>
      <c r="AZ968" s="3" t="n"/>
      <c r="BA968" s="3" t="n"/>
      <c r="BB968" s="3" t="n"/>
      <c r="BC968" s="3" t="n"/>
      <c r="BD968" s="3" t="n"/>
      <c r="BE968" s="3" t="n"/>
      <c r="BF968" s="3" t="n"/>
      <c r="BG968" s="3" t="n"/>
      <c r="BH968" s="3" t="n"/>
      <c r="BI968" s="3" t="n"/>
      <c r="BJ968" s="3" t="n"/>
      <c r="BK968" s="3" t="n"/>
      <c r="BL968" s="3" t="n"/>
      <c r="BM968" s="3" t="n"/>
      <c r="BN968" s="3" t="n"/>
    </row>
    <row r="969" ht="12" customHeight="1">
      <c r="B969" s="2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4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  <c r="AQ969" s="3" t="n"/>
      <c r="AR969" s="3" t="n"/>
      <c r="AS969" s="3" t="n"/>
      <c r="AT969" s="3" t="n"/>
      <c r="AU969" s="3" t="n"/>
      <c r="AV969" s="7" t="n"/>
      <c r="AW969" s="3" t="n"/>
      <c r="AX969" s="3" t="n"/>
      <c r="AY969" s="3" t="n"/>
      <c r="AZ969" s="3" t="n"/>
      <c r="BA969" s="3" t="n"/>
      <c r="BB969" s="3" t="n"/>
      <c r="BC969" s="3" t="n"/>
      <c r="BD969" s="3" t="n"/>
      <c r="BE969" s="3" t="n"/>
      <c r="BF969" s="3" t="n"/>
      <c r="BG969" s="3" t="n"/>
      <c r="BH969" s="3" t="n"/>
      <c r="BI969" s="3" t="n"/>
      <c r="BJ969" s="3" t="n"/>
      <c r="BK969" s="3" t="n"/>
      <c r="BL969" s="3" t="n"/>
      <c r="BM969" s="3" t="n"/>
      <c r="BN969" s="3" t="n"/>
    </row>
    <row r="970" ht="12" customHeight="1">
      <c r="B970" s="2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4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7" t="n"/>
      <c r="AW970" s="3" t="n"/>
      <c r="AX970" s="3" t="n"/>
      <c r="AY970" s="3" t="n"/>
      <c r="AZ970" s="3" t="n"/>
      <c r="BA970" s="3" t="n"/>
      <c r="BB970" s="3" t="n"/>
      <c r="BC970" s="3" t="n"/>
      <c r="BD970" s="3" t="n"/>
      <c r="BE970" s="3" t="n"/>
      <c r="BF970" s="3" t="n"/>
      <c r="BG970" s="3" t="n"/>
      <c r="BH970" s="3" t="n"/>
      <c r="BI970" s="3" t="n"/>
      <c r="BJ970" s="3" t="n"/>
      <c r="BK970" s="3" t="n"/>
      <c r="BL970" s="3" t="n"/>
      <c r="BM970" s="3" t="n"/>
      <c r="BN970" s="3" t="n"/>
    </row>
    <row r="971" ht="12" customHeight="1">
      <c r="B971" s="2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4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  <c r="AQ971" s="3" t="n"/>
      <c r="AR971" s="3" t="n"/>
      <c r="AS971" s="3" t="n"/>
      <c r="AT971" s="3" t="n"/>
      <c r="AU971" s="3" t="n"/>
      <c r="AV971" s="7" t="n"/>
      <c r="AW971" s="3" t="n"/>
      <c r="AX971" s="3" t="n"/>
      <c r="AY971" s="3" t="n"/>
      <c r="AZ971" s="3" t="n"/>
      <c r="BA971" s="3" t="n"/>
      <c r="BB971" s="3" t="n"/>
      <c r="BC971" s="3" t="n"/>
      <c r="BD971" s="3" t="n"/>
      <c r="BE971" s="3" t="n"/>
      <c r="BF971" s="3" t="n"/>
      <c r="BG971" s="3" t="n"/>
      <c r="BH971" s="3" t="n"/>
      <c r="BI971" s="3" t="n"/>
      <c r="BJ971" s="3" t="n"/>
      <c r="BK971" s="3" t="n"/>
      <c r="BL971" s="3" t="n"/>
      <c r="BM971" s="3" t="n"/>
      <c r="BN971" s="3" t="n"/>
    </row>
    <row r="972" ht="12" customHeight="1">
      <c r="B972" s="2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4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7" t="n"/>
      <c r="AW972" s="3" t="n"/>
      <c r="AX972" s="3" t="n"/>
      <c r="AY972" s="3" t="n"/>
      <c r="AZ972" s="3" t="n"/>
      <c r="BA972" s="3" t="n"/>
      <c r="BB972" s="3" t="n"/>
      <c r="BC972" s="3" t="n"/>
      <c r="BD972" s="3" t="n"/>
      <c r="BE972" s="3" t="n"/>
      <c r="BF972" s="3" t="n"/>
      <c r="BG972" s="3" t="n"/>
      <c r="BH972" s="3" t="n"/>
      <c r="BI972" s="3" t="n"/>
      <c r="BJ972" s="3" t="n"/>
      <c r="BK972" s="3" t="n"/>
      <c r="BL972" s="3" t="n"/>
      <c r="BM972" s="3" t="n"/>
      <c r="BN972" s="3" t="n"/>
    </row>
    <row r="973" ht="12" customHeight="1">
      <c r="B973" s="2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4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  <c r="AQ973" s="3" t="n"/>
      <c r="AR973" s="3" t="n"/>
      <c r="AS973" s="3" t="n"/>
      <c r="AT973" s="3" t="n"/>
      <c r="AU973" s="3" t="n"/>
      <c r="AV973" s="7" t="n"/>
      <c r="AW973" s="3" t="n"/>
      <c r="AX973" s="3" t="n"/>
      <c r="AY973" s="3" t="n"/>
      <c r="AZ973" s="3" t="n"/>
      <c r="BA973" s="3" t="n"/>
      <c r="BB973" s="3" t="n"/>
      <c r="BC973" s="3" t="n"/>
      <c r="BD973" s="3" t="n"/>
      <c r="BE973" s="3" t="n"/>
      <c r="BF973" s="3" t="n"/>
      <c r="BG973" s="3" t="n"/>
      <c r="BH973" s="3" t="n"/>
      <c r="BI973" s="3" t="n"/>
      <c r="BJ973" s="3" t="n"/>
      <c r="BK973" s="3" t="n"/>
      <c r="BL973" s="3" t="n"/>
      <c r="BM973" s="3" t="n"/>
      <c r="BN973" s="3" t="n"/>
    </row>
    <row r="974" ht="12" customHeight="1">
      <c r="B974" s="2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4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7" t="n"/>
      <c r="AW974" s="3" t="n"/>
      <c r="AX974" s="3" t="n"/>
      <c r="AY974" s="3" t="n"/>
      <c r="AZ974" s="3" t="n"/>
      <c r="BA974" s="3" t="n"/>
      <c r="BB974" s="3" t="n"/>
      <c r="BC974" s="3" t="n"/>
      <c r="BD974" s="3" t="n"/>
      <c r="BE974" s="3" t="n"/>
      <c r="BF974" s="3" t="n"/>
      <c r="BG974" s="3" t="n"/>
      <c r="BH974" s="3" t="n"/>
      <c r="BI974" s="3" t="n"/>
      <c r="BJ974" s="3" t="n"/>
      <c r="BK974" s="3" t="n"/>
      <c r="BL974" s="3" t="n"/>
      <c r="BM974" s="3" t="n"/>
      <c r="BN974" s="3" t="n"/>
    </row>
    <row r="975" ht="12" customHeight="1">
      <c r="B975" s="2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4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  <c r="AQ975" s="3" t="n"/>
      <c r="AR975" s="3" t="n"/>
      <c r="AS975" s="3" t="n"/>
      <c r="AT975" s="3" t="n"/>
      <c r="AU975" s="3" t="n"/>
      <c r="AV975" s="7" t="n"/>
      <c r="AW975" s="3" t="n"/>
      <c r="AX975" s="3" t="n"/>
      <c r="AY975" s="3" t="n"/>
      <c r="AZ975" s="3" t="n"/>
      <c r="BA975" s="3" t="n"/>
      <c r="BB975" s="3" t="n"/>
      <c r="BC975" s="3" t="n"/>
      <c r="BD975" s="3" t="n"/>
      <c r="BE975" s="3" t="n"/>
      <c r="BF975" s="3" t="n"/>
      <c r="BG975" s="3" t="n"/>
      <c r="BH975" s="3" t="n"/>
      <c r="BI975" s="3" t="n"/>
      <c r="BJ975" s="3" t="n"/>
      <c r="BK975" s="3" t="n"/>
      <c r="BL975" s="3" t="n"/>
      <c r="BM975" s="3" t="n"/>
      <c r="BN975" s="3" t="n"/>
    </row>
    <row r="976" ht="12" customHeight="1">
      <c r="B976" s="2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4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7" t="n"/>
      <c r="AW976" s="3" t="n"/>
      <c r="AX976" s="3" t="n"/>
      <c r="AY976" s="3" t="n"/>
      <c r="AZ976" s="3" t="n"/>
      <c r="BA976" s="3" t="n"/>
      <c r="BB976" s="3" t="n"/>
      <c r="BC976" s="3" t="n"/>
      <c r="BD976" s="3" t="n"/>
      <c r="BE976" s="3" t="n"/>
      <c r="BF976" s="3" t="n"/>
      <c r="BG976" s="3" t="n"/>
      <c r="BH976" s="3" t="n"/>
      <c r="BI976" s="3" t="n"/>
      <c r="BJ976" s="3" t="n"/>
      <c r="BK976" s="3" t="n"/>
      <c r="BL976" s="3" t="n"/>
      <c r="BM976" s="3" t="n"/>
      <c r="BN976" s="3" t="n"/>
    </row>
    <row r="977" ht="12" customHeight="1">
      <c r="B977" s="2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4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  <c r="AQ977" s="3" t="n"/>
      <c r="AR977" s="3" t="n"/>
      <c r="AS977" s="3" t="n"/>
      <c r="AT977" s="3" t="n"/>
      <c r="AU977" s="3" t="n"/>
      <c r="AV977" s="7" t="n"/>
      <c r="AW977" s="3" t="n"/>
      <c r="AX977" s="3" t="n"/>
      <c r="AY977" s="3" t="n"/>
      <c r="AZ977" s="3" t="n"/>
      <c r="BA977" s="3" t="n"/>
      <c r="BB977" s="3" t="n"/>
      <c r="BC977" s="3" t="n"/>
      <c r="BD977" s="3" t="n"/>
      <c r="BE977" s="3" t="n"/>
      <c r="BF977" s="3" t="n"/>
      <c r="BG977" s="3" t="n"/>
      <c r="BH977" s="3" t="n"/>
      <c r="BI977" s="3" t="n"/>
      <c r="BJ977" s="3" t="n"/>
      <c r="BK977" s="3" t="n"/>
      <c r="BL977" s="3" t="n"/>
      <c r="BM977" s="3" t="n"/>
      <c r="BN977" s="3" t="n"/>
    </row>
    <row r="978" ht="12" customHeight="1">
      <c r="B978" s="2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4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7" t="n"/>
      <c r="AW978" s="3" t="n"/>
      <c r="AX978" s="3" t="n"/>
      <c r="AY978" s="3" t="n"/>
      <c r="AZ978" s="3" t="n"/>
      <c r="BA978" s="3" t="n"/>
      <c r="BB978" s="3" t="n"/>
      <c r="BC978" s="3" t="n"/>
      <c r="BD978" s="3" t="n"/>
      <c r="BE978" s="3" t="n"/>
      <c r="BF978" s="3" t="n"/>
      <c r="BG978" s="3" t="n"/>
      <c r="BH978" s="3" t="n"/>
      <c r="BI978" s="3" t="n"/>
      <c r="BJ978" s="3" t="n"/>
      <c r="BK978" s="3" t="n"/>
      <c r="BL978" s="3" t="n"/>
      <c r="BM978" s="3" t="n"/>
      <c r="BN978" s="3" t="n"/>
    </row>
    <row r="979" ht="12" customHeight="1">
      <c r="B979" s="2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4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  <c r="AQ979" s="3" t="n"/>
      <c r="AR979" s="3" t="n"/>
      <c r="AS979" s="3" t="n"/>
      <c r="AT979" s="3" t="n"/>
      <c r="AU979" s="3" t="n"/>
      <c r="AV979" s="7" t="n"/>
      <c r="AW979" s="3" t="n"/>
      <c r="AX979" s="3" t="n"/>
      <c r="AY979" s="3" t="n"/>
      <c r="AZ979" s="3" t="n"/>
      <c r="BA979" s="3" t="n"/>
      <c r="BB979" s="3" t="n"/>
      <c r="BC979" s="3" t="n"/>
      <c r="BD979" s="3" t="n"/>
      <c r="BE979" s="3" t="n"/>
      <c r="BF979" s="3" t="n"/>
      <c r="BG979" s="3" t="n"/>
      <c r="BH979" s="3" t="n"/>
      <c r="BI979" s="3" t="n"/>
      <c r="BJ979" s="3" t="n"/>
      <c r="BK979" s="3" t="n"/>
      <c r="BL979" s="3" t="n"/>
      <c r="BM979" s="3" t="n"/>
      <c r="BN979" s="3" t="n"/>
    </row>
    <row r="980" ht="12" customHeight="1">
      <c r="B980" s="2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4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7" t="n"/>
      <c r="AW980" s="3" t="n"/>
      <c r="AX980" s="3" t="n"/>
      <c r="AY980" s="3" t="n"/>
      <c r="AZ980" s="3" t="n"/>
      <c r="BA980" s="3" t="n"/>
      <c r="BB980" s="3" t="n"/>
      <c r="BC980" s="3" t="n"/>
      <c r="BD980" s="3" t="n"/>
      <c r="BE980" s="3" t="n"/>
      <c r="BF980" s="3" t="n"/>
      <c r="BG980" s="3" t="n"/>
      <c r="BH980" s="3" t="n"/>
      <c r="BI980" s="3" t="n"/>
      <c r="BJ980" s="3" t="n"/>
      <c r="BK980" s="3" t="n"/>
      <c r="BL980" s="3" t="n"/>
      <c r="BM980" s="3" t="n"/>
      <c r="BN980" s="3" t="n"/>
    </row>
    <row r="981" ht="12" customHeight="1">
      <c r="B981" s="2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4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  <c r="AQ981" s="3" t="n"/>
      <c r="AR981" s="3" t="n"/>
      <c r="AS981" s="3" t="n"/>
      <c r="AT981" s="3" t="n"/>
      <c r="AU981" s="3" t="n"/>
      <c r="AV981" s="7" t="n"/>
      <c r="AW981" s="3" t="n"/>
      <c r="AX981" s="3" t="n"/>
      <c r="AY981" s="3" t="n"/>
      <c r="AZ981" s="3" t="n"/>
      <c r="BA981" s="3" t="n"/>
      <c r="BB981" s="3" t="n"/>
      <c r="BC981" s="3" t="n"/>
      <c r="BD981" s="3" t="n"/>
      <c r="BE981" s="3" t="n"/>
      <c r="BF981" s="3" t="n"/>
      <c r="BG981" s="3" t="n"/>
      <c r="BH981" s="3" t="n"/>
      <c r="BI981" s="3" t="n"/>
      <c r="BJ981" s="3" t="n"/>
      <c r="BK981" s="3" t="n"/>
      <c r="BL981" s="3" t="n"/>
      <c r="BM981" s="3" t="n"/>
      <c r="BN981" s="3" t="n"/>
    </row>
    <row r="982" ht="12" customHeight="1">
      <c r="B982" s="2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4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7" t="n"/>
      <c r="AW982" s="3" t="n"/>
      <c r="AX982" s="3" t="n"/>
      <c r="AY982" s="3" t="n"/>
      <c r="AZ982" s="3" t="n"/>
      <c r="BA982" s="3" t="n"/>
      <c r="BB982" s="3" t="n"/>
      <c r="BC982" s="3" t="n"/>
      <c r="BD982" s="3" t="n"/>
      <c r="BE982" s="3" t="n"/>
      <c r="BF982" s="3" t="n"/>
      <c r="BG982" s="3" t="n"/>
      <c r="BH982" s="3" t="n"/>
      <c r="BI982" s="3" t="n"/>
      <c r="BJ982" s="3" t="n"/>
      <c r="BK982" s="3" t="n"/>
      <c r="BL982" s="3" t="n"/>
      <c r="BM982" s="3" t="n"/>
      <c r="BN982" s="3" t="n"/>
    </row>
    <row r="983" ht="12" customHeight="1">
      <c r="B983" s="2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4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  <c r="AQ983" s="3" t="n"/>
      <c r="AR983" s="3" t="n"/>
      <c r="AS983" s="3" t="n"/>
      <c r="AT983" s="3" t="n"/>
      <c r="AU983" s="3" t="n"/>
      <c r="AV983" s="7" t="n"/>
      <c r="AW983" s="3" t="n"/>
      <c r="AX983" s="3" t="n"/>
      <c r="AY983" s="3" t="n"/>
      <c r="AZ983" s="3" t="n"/>
      <c r="BA983" s="3" t="n"/>
      <c r="BB983" s="3" t="n"/>
      <c r="BC983" s="3" t="n"/>
      <c r="BD983" s="3" t="n"/>
      <c r="BE983" s="3" t="n"/>
      <c r="BF983" s="3" t="n"/>
      <c r="BG983" s="3" t="n"/>
      <c r="BH983" s="3" t="n"/>
      <c r="BI983" s="3" t="n"/>
      <c r="BJ983" s="3" t="n"/>
      <c r="BK983" s="3" t="n"/>
      <c r="BL983" s="3" t="n"/>
      <c r="BM983" s="3" t="n"/>
      <c r="BN983" s="3" t="n"/>
    </row>
    <row r="984" ht="12" customHeight="1">
      <c r="B984" s="2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4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7" t="n"/>
      <c r="AW984" s="3" t="n"/>
      <c r="AX984" s="3" t="n"/>
      <c r="AY984" s="3" t="n"/>
      <c r="AZ984" s="3" t="n"/>
      <c r="BA984" s="3" t="n"/>
      <c r="BB984" s="3" t="n"/>
      <c r="BC984" s="3" t="n"/>
      <c r="BD984" s="3" t="n"/>
      <c r="BE984" s="3" t="n"/>
      <c r="BF984" s="3" t="n"/>
      <c r="BG984" s="3" t="n"/>
      <c r="BH984" s="3" t="n"/>
      <c r="BI984" s="3" t="n"/>
      <c r="BJ984" s="3" t="n"/>
      <c r="BK984" s="3" t="n"/>
      <c r="BL984" s="3" t="n"/>
      <c r="BM984" s="3" t="n"/>
      <c r="BN984" s="3" t="n"/>
    </row>
    <row r="985" ht="12" customHeight="1">
      <c r="B985" s="2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4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  <c r="AQ985" s="3" t="n"/>
      <c r="AR985" s="3" t="n"/>
      <c r="AS985" s="3" t="n"/>
      <c r="AT985" s="3" t="n"/>
      <c r="AU985" s="3" t="n"/>
      <c r="AV985" s="7" t="n"/>
      <c r="AW985" s="3" t="n"/>
      <c r="AX985" s="3" t="n"/>
      <c r="AY985" s="3" t="n"/>
      <c r="AZ985" s="3" t="n"/>
      <c r="BA985" s="3" t="n"/>
      <c r="BB985" s="3" t="n"/>
      <c r="BC985" s="3" t="n"/>
      <c r="BD985" s="3" t="n"/>
      <c r="BE985" s="3" t="n"/>
      <c r="BF985" s="3" t="n"/>
      <c r="BG985" s="3" t="n"/>
      <c r="BH985" s="3" t="n"/>
      <c r="BI985" s="3" t="n"/>
      <c r="BJ985" s="3" t="n"/>
      <c r="BK985" s="3" t="n"/>
      <c r="BL985" s="3" t="n"/>
      <c r="BM985" s="3" t="n"/>
      <c r="BN985" s="3" t="n"/>
    </row>
    <row r="986" ht="12" customHeight="1">
      <c r="B986" s="2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4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7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</row>
    <row r="987" ht="12" customHeight="1">
      <c r="B987" s="2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4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7" t="n"/>
      <c r="AW987" s="3" t="n"/>
      <c r="AX987" s="3" t="n"/>
      <c r="AY987" s="3" t="n"/>
      <c r="AZ987" s="3" t="n"/>
      <c r="BA987" s="3" t="n"/>
      <c r="BB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N987" s="3" t="n"/>
    </row>
    <row r="988" ht="12" customHeight="1">
      <c r="B988" s="2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4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7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</row>
    <row r="989" ht="12" customHeight="1">
      <c r="B989" s="2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4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7" t="n"/>
      <c r="AW989" s="3" t="n"/>
      <c r="AX989" s="3" t="n"/>
      <c r="AY989" s="3" t="n"/>
      <c r="AZ989" s="3" t="n"/>
      <c r="BA989" s="3" t="n"/>
      <c r="BB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N989" s="3" t="n"/>
    </row>
    <row r="990" ht="12" customHeight="1">
      <c r="B990" s="2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4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7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</row>
    <row r="991" ht="12" customHeight="1">
      <c r="B991" s="2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4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7" t="n"/>
      <c r="AW991" s="3" t="n"/>
      <c r="AX991" s="3" t="n"/>
      <c r="AY991" s="3" t="n"/>
      <c r="AZ991" s="3" t="n"/>
      <c r="BA991" s="3" t="n"/>
      <c r="BB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N991" s="3" t="n"/>
    </row>
    <row r="992" ht="12" customHeight="1">
      <c r="B992" s="2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4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7" t="n"/>
      <c r="AW992" s="3" t="n"/>
      <c r="AX992" s="3" t="n"/>
      <c r="AY992" s="3" t="n"/>
      <c r="AZ992" s="3" t="n"/>
      <c r="BA992" s="3" t="n"/>
      <c r="BB992" s="3" t="n"/>
      <c r="BC992" s="3" t="n"/>
      <c r="BD992" s="3" t="n"/>
      <c r="BE992" s="3" t="n"/>
      <c r="BF992" s="3" t="n"/>
      <c r="BG992" s="3" t="n"/>
      <c r="BH992" s="3" t="n"/>
      <c r="BI992" s="3" t="n"/>
      <c r="BJ992" s="3" t="n"/>
      <c r="BK992" s="3" t="n"/>
      <c r="BL992" s="3" t="n"/>
      <c r="BM992" s="3" t="n"/>
      <c r="BN992" s="3" t="n"/>
    </row>
    <row r="993" ht="12" customHeight="1">
      <c r="B993" s="2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4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  <c r="AQ993" s="3" t="n"/>
      <c r="AR993" s="3" t="n"/>
      <c r="AS993" s="3" t="n"/>
      <c r="AT993" s="3" t="n"/>
      <c r="AU993" s="3" t="n"/>
      <c r="AV993" s="7" t="n"/>
      <c r="AW993" s="3" t="n"/>
      <c r="AX993" s="3" t="n"/>
      <c r="AY993" s="3" t="n"/>
      <c r="AZ993" s="3" t="n"/>
      <c r="BA993" s="3" t="n"/>
      <c r="BB993" s="3" t="n"/>
      <c r="BC993" s="3" t="n"/>
      <c r="BD993" s="3" t="n"/>
      <c r="BE993" s="3" t="n"/>
      <c r="BF993" s="3" t="n"/>
      <c r="BG993" s="3" t="n"/>
      <c r="BH993" s="3" t="n"/>
      <c r="BI993" s="3" t="n"/>
      <c r="BJ993" s="3" t="n"/>
      <c r="BK993" s="3" t="n"/>
      <c r="BL993" s="3" t="n"/>
      <c r="BM993" s="3" t="n"/>
      <c r="BN993" s="3" t="n"/>
    </row>
    <row r="994" ht="12" customHeight="1">
      <c r="B994" s="2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4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7" t="n"/>
      <c r="AW994" s="3" t="n"/>
      <c r="AX994" s="3" t="n"/>
      <c r="AY994" s="3" t="n"/>
      <c r="AZ994" s="3" t="n"/>
      <c r="BA994" s="3" t="n"/>
      <c r="BB994" s="3" t="n"/>
      <c r="BC994" s="3" t="n"/>
      <c r="BD994" s="3" t="n"/>
      <c r="BE994" s="3" t="n"/>
      <c r="BF994" s="3" t="n"/>
      <c r="BG994" s="3" t="n"/>
      <c r="BH994" s="3" t="n"/>
      <c r="BI994" s="3" t="n"/>
      <c r="BJ994" s="3" t="n"/>
      <c r="BK994" s="3" t="n"/>
      <c r="BL994" s="3" t="n"/>
      <c r="BM994" s="3" t="n"/>
      <c r="BN994" s="3" t="n"/>
    </row>
    <row r="995" ht="12" customHeight="1">
      <c r="B995" s="2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4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  <c r="AM995" s="3" t="n"/>
      <c r="AN995" s="3" t="n"/>
      <c r="AO995" s="3" t="n"/>
      <c r="AP995" s="3" t="n"/>
      <c r="AQ995" s="3" t="n"/>
      <c r="AR995" s="3" t="n"/>
      <c r="AS995" s="3" t="n"/>
      <c r="AT995" s="3" t="n"/>
      <c r="AU995" s="3" t="n"/>
      <c r="AV995" s="7" t="n"/>
      <c r="AW995" s="3" t="n"/>
      <c r="AX995" s="3" t="n"/>
      <c r="AY995" s="3" t="n"/>
      <c r="AZ995" s="3" t="n"/>
      <c r="BA995" s="3" t="n"/>
      <c r="BB995" s="3" t="n"/>
      <c r="BC995" s="3" t="n"/>
      <c r="BD995" s="3" t="n"/>
      <c r="BE995" s="3" t="n"/>
      <c r="BF995" s="3" t="n"/>
      <c r="BG995" s="3" t="n"/>
      <c r="BH995" s="3" t="n"/>
      <c r="BI995" s="3" t="n"/>
      <c r="BJ995" s="3" t="n"/>
      <c r="BK995" s="3" t="n"/>
      <c r="BL995" s="3" t="n"/>
      <c r="BM995" s="3" t="n"/>
      <c r="BN995" s="3" t="n"/>
    </row>
    <row r="996" ht="12" customHeight="1">
      <c r="B996" s="2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4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7" t="n"/>
      <c r="AW996" s="3" t="n"/>
      <c r="AX996" s="3" t="n"/>
      <c r="AY996" s="3" t="n"/>
      <c r="AZ996" s="3" t="n"/>
      <c r="BA996" s="3" t="n"/>
      <c r="BB996" s="3" t="n"/>
      <c r="BC996" s="3" t="n"/>
      <c r="BD996" s="3" t="n"/>
      <c r="BE996" s="3" t="n"/>
      <c r="BF996" s="3" t="n"/>
      <c r="BG996" s="3" t="n"/>
      <c r="BH996" s="3" t="n"/>
      <c r="BI996" s="3" t="n"/>
      <c r="BJ996" s="3" t="n"/>
      <c r="BK996" s="3" t="n"/>
      <c r="BL996" s="3" t="n"/>
      <c r="BM996" s="3" t="n"/>
      <c r="BN996" s="3" t="n"/>
    </row>
    <row r="997" ht="12" customHeight="1">
      <c r="B997" s="2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4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  <c r="AM997" s="3" t="n"/>
      <c r="AN997" s="3" t="n"/>
      <c r="AO997" s="3" t="n"/>
      <c r="AP997" s="3" t="n"/>
      <c r="AQ997" s="3" t="n"/>
      <c r="AR997" s="3" t="n"/>
      <c r="AS997" s="3" t="n"/>
      <c r="AT997" s="3" t="n"/>
      <c r="AU997" s="3" t="n"/>
      <c r="AV997" s="7" t="n"/>
      <c r="AW997" s="3" t="n"/>
      <c r="AX997" s="3" t="n"/>
      <c r="AY997" s="3" t="n"/>
      <c r="AZ997" s="3" t="n"/>
      <c r="BA997" s="3" t="n"/>
      <c r="BB997" s="3" t="n"/>
      <c r="BC997" s="3" t="n"/>
      <c r="BD997" s="3" t="n"/>
      <c r="BE997" s="3" t="n"/>
      <c r="BF997" s="3" t="n"/>
      <c r="BG997" s="3" t="n"/>
      <c r="BH997" s="3" t="n"/>
      <c r="BI997" s="3" t="n"/>
      <c r="BJ997" s="3" t="n"/>
      <c r="BK997" s="3" t="n"/>
      <c r="BL997" s="3" t="n"/>
      <c r="BM997" s="3" t="n"/>
      <c r="BN997" s="3" t="n"/>
    </row>
    <row r="998" ht="12" customHeight="1">
      <c r="B998" s="2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4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7" t="n"/>
      <c r="AW998" s="3" t="n"/>
      <c r="AX998" s="3" t="n"/>
      <c r="AY998" s="3" t="n"/>
      <c r="AZ998" s="3" t="n"/>
      <c r="BA998" s="3" t="n"/>
      <c r="BB998" s="3" t="n"/>
      <c r="BC998" s="3" t="n"/>
      <c r="BD998" s="3" t="n"/>
      <c r="BE998" s="3" t="n"/>
      <c r="BF998" s="3" t="n"/>
      <c r="BG998" s="3" t="n"/>
      <c r="BH998" s="3" t="n"/>
      <c r="BI998" s="3" t="n"/>
      <c r="BJ998" s="3" t="n"/>
      <c r="BK998" s="3" t="n"/>
      <c r="BL998" s="3" t="n"/>
      <c r="BM998" s="3" t="n"/>
      <c r="BN998" s="3" t="n"/>
    </row>
  </sheetData>
  <mergeCells count="206">
    <mergeCell ref="AQ36:AU36"/>
    <mergeCell ref="C27:R27"/>
    <mergeCell ref="AE48:AN48"/>
    <mergeCell ref="AQ30:AU30"/>
    <mergeCell ref="AD19:AO19"/>
    <mergeCell ref="AD34:AO34"/>
    <mergeCell ref="AB16:AC21"/>
    <mergeCell ref="AD28:AO28"/>
    <mergeCell ref="AQ20:AU20"/>
    <mergeCell ref="C17:R17"/>
    <mergeCell ref="B14:J14"/>
    <mergeCell ref="B54:R54"/>
    <mergeCell ref="C11:AS11"/>
    <mergeCell ref="AM3:AP3"/>
    <mergeCell ref="B8:Y8"/>
    <mergeCell ref="AD30:AO30"/>
    <mergeCell ref="AB41:AO41"/>
    <mergeCell ref="C19:R19"/>
    <mergeCell ref="E48:R48"/>
    <mergeCell ref="AQ22:AU22"/>
    <mergeCell ref="T40:Y40"/>
    <mergeCell ref="AB22:AC35"/>
    <mergeCell ref="C28:R28"/>
    <mergeCell ref="AQ3:AU3"/>
    <mergeCell ref="AC48:AC50"/>
    <mergeCell ref="E38:R38"/>
    <mergeCell ref="Z51:AN51"/>
    <mergeCell ref="AQ46:AU46"/>
    <mergeCell ref="T16:Y16"/>
    <mergeCell ref="C30:R30"/>
    <mergeCell ref="Y10:AI10"/>
    <mergeCell ref="AD22:AO22"/>
    <mergeCell ref="E40:R40"/>
    <mergeCell ref="AB36:AO36"/>
    <mergeCell ref="S10:T10"/>
    <mergeCell ref="AI54:AM54"/>
    <mergeCell ref="T18:Y18"/>
    <mergeCell ref="AQ38:AU38"/>
    <mergeCell ref="AJ9:AO9"/>
    <mergeCell ref="T39:Y39"/>
    <mergeCell ref="AJ10:AP10"/>
    <mergeCell ref="T49:Y49"/>
    <mergeCell ref="AQ40:AU40"/>
    <mergeCell ref="L14:O14"/>
    <mergeCell ref="C33:D38"/>
    <mergeCell ref="B64:L64"/>
    <mergeCell ref="AD24:AO24"/>
    <mergeCell ref="T45:Y45"/>
    <mergeCell ref="AQ24:AU24"/>
    <mergeCell ref="AJ14:AL14"/>
    <mergeCell ref="T42:Y42"/>
    <mergeCell ref="W14:X14"/>
    <mergeCell ref="B6:Y7"/>
    <mergeCell ref="T50:Y50"/>
    <mergeCell ref="AQ26:AU26"/>
    <mergeCell ref="T44:Y44"/>
    <mergeCell ref="E50:R50"/>
    <mergeCell ref="E5:F5"/>
    <mergeCell ref="B16:B32"/>
    <mergeCell ref="E42:R42"/>
    <mergeCell ref="B33:B46"/>
    <mergeCell ref="AQ25:AU25"/>
    <mergeCell ref="C9:Q9"/>
    <mergeCell ref="B51:N51"/>
    <mergeCell ref="T21:Y21"/>
    <mergeCell ref="AQ51:AU51"/>
    <mergeCell ref="E39:R39"/>
    <mergeCell ref="U52:AH53"/>
    <mergeCell ref="AB40:AO40"/>
    <mergeCell ref="C18:R18"/>
    <mergeCell ref="T41:Y41"/>
    <mergeCell ref="AQ50:AU50"/>
    <mergeCell ref="T23:Y23"/>
    <mergeCell ref="U54:AH64"/>
    <mergeCell ref="AQ43:AU43"/>
    <mergeCell ref="T43:Y43"/>
    <mergeCell ref="B5:D5"/>
    <mergeCell ref="AO48:AO50"/>
    <mergeCell ref="AQ39:AU39"/>
    <mergeCell ref="B9:B12"/>
    <mergeCell ref="C45:R45"/>
    <mergeCell ref="T27:Y27"/>
    <mergeCell ref="R9:T9"/>
    <mergeCell ref="T36:Y36"/>
    <mergeCell ref="C20:R20"/>
    <mergeCell ref="AQ29:AU29"/>
    <mergeCell ref="AQ23:AU23"/>
    <mergeCell ref="C29:R29"/>
    <mergeCell ref="C10:L10"/>
    <mergeCell ref="AN54:AT54"/>
    <mergeCell ref="AD21:AO21"/>
    <mergeCell ref="T33:Y33"/>
    <mergeCell ref="C44:R44"/>
    <mergeCell ref="C22:R22"/>
    <mergeCell ref="AQ31:AU31"/>
    <mergeCell ref="AT11:AU11"/>
    <mergeCell ref="AD20:AO20"/>
    <mergeCell ref="C31:R31"/>
    <mergeCell ref="AD23:AO23"/>
    <mergeCell ref="E41:R41"/>
    <mergeCell ref="T35:Y35"/>
    <mergeCell ref="C46:R46"/>
    <mergeCell ref="C21:R21"/>
    <mergeCell ref="AB37:AO37"/>
    <mergeCell ref="E47:R47"/>
    <mergeCell ref="T25:Y25"/>
    <mergeCell ref="E43:R43"/>
    <mergeCell ref="B47:B50"/>
    <mergeCell ref="C23:R23"/>
    <mergeCell ref="K5:L5"/>
    <mergeCell ref="B59:O59"/>
    <mergeCell ref="AQ32:AU32"/>
    <mergeCell ref="E33:R33"/>
    <mergeCell ref="AQ41:AU41"/>
    <mergeCell ref="U10:X10"/>
    <mergeCell ref="Y9:AI9"/>
    <mergeCell ref="M64:T64"/>
    <mergeCell ref="AQ16:AU16"/>
    <mergeCell ref="E35:R35"/>
    <mergeCell ref="O51:W51"/>
    <mergeCell ref="U9:X9"/>
    <mergeCell ref="Z48:AB50"/>
    <mergeCell ref="T31:Y31"/>
    <mergeCell ref="AQ18:AU18"/>
    <mergeCell ref="C24:R24"/>
    <mergeCell ref="AQ33:AU33"/>
    <mergeCell ref="AI56:AU64"/>
    <mergeCell ref="B61:R61"/>
    <mergeCell ref="AQ42:AU42"/>
    <mergeCell ref="T37:Y37"/>
    <mergeCell ref="AQ17:AU17"/>
    <mergeCell ref="AD27:AN27"/>
    <mergeCell ref="AB43:AO43"/>
    <mergeCell ref="C26:R26"/>
    <mergeCell ref="AS14:AU14"/>
    <mergeCell ref="AQ10:AU10"/>
    <mergeCell ref="AQ19:AU19"/>
    <mergeCell ref="C16:R16"/>
    <mergeCell ref="AQ28:AU28"/>
    <mergeCell ref="C25:R25"/>
    <mergeCell ref="AD17:AO17"/>
    <mergeCell ref="T24:Y24"/>
    <mergeCell ref="T38:Y38"/>
    <mergeCell ref="AQ9:AU9"/>
    <mergeCell ref="AO51:AP51"/>
    <mergeCell ref="AQ44:AU44"/>
    <mergeCell ref="C39:D43"/>
    <mergeCell ref="E37:R37"/>
    <mergeCell ref="AB42:AO42"/>
    <mergeCell ref="C47:D50"/>
    <mergeCell ref="AD25:AO25"/>
    <mergeCell ref="C12:AS12"/>
    <mergeCell ref="AQ45:AU45"/>
    <mergeCell ref="AD31:AO31"/>
    <mergeCell ref="AD29:AN29"/>
    <mergeCell ref="AT12:AU12"/>
    <mergeCell ref="AQ37:AU37"/>
    <mergeCell ref="C32:R32"/>
    <mergeCell ref="AE49:AN49"/>
    <mergeCell ref="AB45:AO45"/>
    <mergeCell ref="R14:U14"/>
    <mergeCell ref="AQ47:AU47"/>
    <mergeCell ref="AQ21:AU21"/>
    <mergeCell ref="T17:Y17"/>
    <mergeCell ref="AB47:AO47"/>
    <mergeCell ref="T22:Y22"/>
    <mergeCell ref="AD32:AO32"/>
    <mergeCell ref="Z44:AA47"/>
    <mergeCell ref="AB44:AO44"/>
    <mergeCell ref="AD26:AO26"/>
    <mergeCell ref="AB46:AO46"/>
    <mergeCell ref="AE50:AN50"/>
    <mergeCell ref="T19:Y19"/>
    <mergeCell ref="T34:Y34"/>
    <mergeCell ref="T46:Y46"/>
    <mergeCell ref="Z16:AA42"/>
    <mergeCell ref="AD16:AO16"/>
    <mergeCell ref="T28:Y28"/>
    <mergeCell ref="E34:R34"/>
    <mergeCell ref="S5:U5"/>
    <mergeCell ref="Z5:AU8"/>
    <mergeCell ref="AB39:AO39"/>
    <mergeCell ref="G5:H5"/>
    <mergeCell ref="I5:J5"/>
    <mergeCell ref="AA14:AI14"/>
    <mergeCell ref="AQ48:AU48"/>
    <mergeCell ref="E49:R49"/>
    <mergeCell ref="T48:Y48"/>
    <mergeCell ref="AD18:AO18"/>
    <mergeCell ref="T30:Y30"/>
    <mergeCell ref="E36:R36"/>
    <mergeCell ref="N3:AL3"/>
    <mergeCell ref="AQ35:AU35"/>
    <mergeCell ref="AB38:AO38"/>
    <mergeCell ref="AN14:AR14"/>
    <mergeCell ref="T20:Y20"/>
    <mergeCell ref="T32:Y32"/>
    <mergeCell ref="AD33:AO33"/>
    <mergeCell ref="T29:Y29"/>
    <mergeCell ref="B3:M3"/>
    <mergeCell ref="AQ34:AU34"/>
    <mergeCell ref="B53:K53"/>
    <mergeCell ref="T47:Y47"/>
    <mergeCell ref="AQ49:AU49"/>
    <mergeCell ref="AD35:AO35"/>
    <mergeCell ref="AQ27:AU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\</dc:creator>
  <dcterms:created xmlns:dcterms="http://purl.org/dc/terms/" xmlns:xsi="http://www.w3.org/2001/XMLSchema-instance" xsi:type="dcterms:W3CDTF">2006-05-09T22:10:03Z</dcterms:created>
  <dcterms:modified xmlns:dcterms="http://purl.org/dc/terms/" xmlns:xsi="http://www.w3.org/2001/XMLSchema-instance" xsi:type="dcterms:W3CDTF">2026-04-02T11:01:02Z</dcterms:modified>
  <cp:lastModifiedBy>USUARIO</cp:lastModifiedBy>
</cp:coreProperties>
</file>